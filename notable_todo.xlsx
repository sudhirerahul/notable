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Summary" sheetId="1" state="visible" r:id="rId3"/>
    <sheet name="1. Setup &amp; Database" sheetId="2" state="visible" r:id="rId4"/>
    <sheet name="2. Backend APIs" sheetId="3" state="visible" r:id="rId5"/>
    <sheet name="3. LLM &amp; Workers" sheetId="4" state="visible" r:id="rId6"/>
    <sheet name="4. Scheduling &amp; Integrations" sheetId="5" state="visible" r:id="rId7"/>
    <sheet name="5. Frontend" sheetId="6" state="visible" r:id="rId8"/>
    <sheet name="6. Testing &amp; Analytics" sheetId="7" state="visible" r:id="rId9"/>
    <sheet name="7. Security &amp; Documentation" sheetId="8" state="visible" r:id="rId10"/>
    <sheet name="8. Deploy &amp; Launch" sheetId="9" state="visible" r:id="rId11"/>
    <sheet name="9. Future Enhancemen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<sst xmlns="http://schemas.openxmlformats.org/spreadsheetml/2006/main" count="3793" uniqueCount="1801">
  <si>
    <t xml:space="preserve">Notable - AI Meeting-to-Task Scheduler</t>
  </si>
  <si>
    <t xml:space="preserve">Project Todo List</t>
  </si>
  <si>
    <t xml:space="preserve">Category</t>
  </si>
  <si>
    <t xml:space="preserve">Total Tasks</t>
  </si>
  <si>
    <t xml:space="preserve">Estimated Hours</t>
  </si>
  <si>
    <t xml:space="preserve">Project Setup &amp; Infrastructure</t>
  </si>
  <si>
    <t xml:space="preserve">20</t>
  </si>
  <si>
    <t xml:space="preserve">Database &amp; Storage</t>
  </si>
  <si>
    <t xml:space="preserve">15</t>
  </si>
  <si>
    <t xml:space="preserve">Backend APIs</t>
  </si>
  <si>
    <t xml:space="preserve">35</t>
  </si>
  <si>
    <t xml:space="preserve">LLM &amp; Extraction</t>
  </si>
  <si>
    <t xml:space="preserve">30</t>
  </si>
  <si>
    <t xml:space="preserve">Workers &amp; Queue</t>
  </si>
  <si>
    <t xml:space="preserve">24</t>
  </si>
  <si>
    <t xml:space="preserve">Scheduling Algorithm</t>
  </si>
  <si>
    <t xml:space="preserve">25</t>
  </si>
  <si>
    <t xml:space="preserve">Integrations</t>
  </si>
  <si>
    <t xml:space="preserve">Frontend Development</t>
  </si>
  <si>
    <t xml:space="preserve">60</t>
  </si>
  <si>
    <t xml:space="preserve">Testing</t>
  </si>
  <si>
    <t xml:space="preserve">32</t>
  </si>
  <si>
    <t xml:space="preserve">Analytics &amp; Monitoring</t>
  </si>
  <si>
    <t xml:space="preserve">Security &amp; Compliance</t>
  </si>
  <si>
    <t xml:space="preserve">Documentation</t>
  </si>
  <si>
    <t xml:space="preserve">23</t>
  </si>
  <si>
    <t xml:space="preserve">Deployment &amp; DevOps</t>
  </si>
  <si>
    <t xml:space="preserve">Optimization</t>
  </si>
  <si>
    <t xml:space="preserve">14</t>
  </si>
  <si>
    <t xml:space="preserve">Launch Preparation</t>
  </si>
  <si>
    <t xml:space="preserve">Future Enhancements</t>
  </si>
  <si>
    <t xml:space="preserve">TOTAL</t>
  </si>
  <si>
    <t xml:space="preserve">Priority Breakdown</t>
  </si>
  <si>
    <t xml:space="preserve">Priority</t>
  </si>
  <si>
    <t xml:space="preserve">Count</t>
  </si>
  <si>
    <t xml:space="preserve">Critical</t>
  </si>
  <si>
    <t xml:space="preserve">~80 tasks</t>
  </si>
  <si>
    <t xml:space="preserve">Foundation and core features</t>
  </si>
  <si>
    <t xml:space="preserve">High</t>
  </si>
  <si>
    <t xml:space="preserve">~250 tasks</t>
  </si>
  <si>
    <t xml:space="preserve">Essential features and integrations</t>
  </si>
  <si>
    <t xml:space="preserve">Medium</t>
  </si>
  <si>
    <t xml:space="preserve">Important enhancements</t>
  </si>
  <si>
    <t xml:space="preserve">Low</t>
  </si>
  <si>
    <t xml:space="preserve">~30 tasks</t>
  </si>
  <si>
    <t xml:space="preserve">Nice-to-have features</t>
  </si>
  <si>
    <t xml:space="preserve">Phase</t>
  </si>
  <si>
    <t xml:space="preserve">Task ID</t>
  </si>
  <si>
    <t xml:space="preserve">Task Name</t>
  </si>
  <si>
    <t xml:space="preserve">Description</t>
  </si>
  <si>
    <t xml:space="preserve">Owner/Team</t>
  </si>
  <si>
    <t xml:space="preserve">Dependencies</t>
  </si>
  <si>
    <t xml:space="preserve">Status</t>
  </si>
  <si>
    <t xml:space="preserve">Notes</t>
  </si>
  <si>
    <t xml:space="preserve">PROJECT SETUP</t>
  </si>
  <si>
    <t xml:space="preserve">Project Initialization</t>
  </si>
  <si>
    <t xml:space="preserve">SETUP-001</t>
  </si>
  <si>
    <t xml:space="preserve">Initialize Git repository</t>
  </si>
  <si>
    <t xml:space="preserve">Create Git repo with proper .gitignore for Node/Python, add README.md, LICENSE, and initial commit</t>
  </si>
  <si>
    <t xml:space="preserve">DevOps</t>
  </si>
  <si>
    <t xml:space="preserve">Not Started</t>
  </si>
  <si>
    <t xml:space="preserve">Use .gitignore templates for Node.js and Python</t>
  </si>
  <si>
    <t xml:space="preserve">SETUP-002</t>
  </si>
  <si>
    <t xml:space="preserve">Set up project directory structure</t>
  </si>
  <si>
    <t xml:space="preserve">Create folder structure: /frontend, /backend, /workers, /database, /docs, /scripts, /tests</t>
  </si>
  <si>
    <t xml:space="preserve">Follow microservices organization</t>
  </si>
  <si>
    <t xml:space="preserve">SETUP-003</t>
  </si>
  <si>
    <t xml:space="preserve">Define monorepo vs. multi-repo strategy</t>
  </si>
  <si>
    <t xml:space="preserve">Decide whether to use monorepo (Nx, Turborepo) or separate repos for frontend/backend</t>
  </si>
  <si>
    <t xml:space="preserve">Tech Lead</t>
  </si>
  <si>
    <t xml:space="preserve">Consider team size and deployment complexity</t>
  </si>
  <si>
    <t xml:space="preserve">SETUP-004</t>
  </si>
  <si>
    <t xml:space="preserve">Create environment configuration templates</t>
  </si>
  <si>
    <t xml:space="preserve">Set up .env.example files for all services with required variables documented</t>
  </si>
  <si>
    <t xml:space="preserve">Backend Dev</t>
  </si>
  <si>
    <t xml:space="preserve">Include API keys, DB URLs, OAuth credentials</t>
  </si>
  <si>
    <t xml:space="preserve">SETUP-005</t>
  </si>
  <si>
    <t xml:space="preserve">Set up Docker development environment</t>
  </si>
  <si>
    <t xml:space="preserve">Create Dockerfile for each service and docker-compose.yml for local development</t>
  </si>
  <si>
    <t xml:space="preserve">Include DB, Redis, and all services</t>
  </si>
  <si>
    <t xml:space="preserve">DEVELOPMENT TOOLS</t>
  </si>
  <si>
    <t xml:space="preserve">Development Tools</t>
  </si>
  <si>
    <t xml:space="preserve">SETUP-006</t>
  </si>
  <si>
    <t xml:space="preserve">Configure code formatting (Prettier)</t>
  </si>
  <si>
    <t xml:space="preserve">Set up Prettier with shared config for frontend and backend</t>
  </si>
  <si>
    <t xml:space="preserve">Frontend Dev</t>
  </si>
  <si>
    <t xml:space="preserve">SETUP-007</t>
  </si>
  <si>
    <t xml:space="preserve">Configure linting (ESLint/Pylint)</t>
  </si>
  <si>
    <t xml:space="preserve">Set up ESLint for TypeScript/JavaScript and Pylint/Flake8 for Python</t>
  </si>
  <si>
    <t xml:space="preserve">SETUP-008</t>
  </si>
  <si>
    <t xml:space="preserve">Set up pre-commit hooks (Husky)</t>
  </si>
  <si>
    <t xml:space="preserve">Install Husky for Git hooks running linting and tests before commits</t>
  </si>
  <si>
    <t xml:space="preserve">SETUP-006, SETUP-007</t>
  </si>
  <si>
    <t xml:space="preserve">SETUP-009</t>
  </si>
  <si>
    <t xml:space="preserve">Configure TypeScript for frontend</t>
  </si>
  <si>
    <t xml:space="preserve">Set up tsconfig.json with strict mode and path aliases</t>
  </si>
  <si>
    <t xml:space="preserve">Enable strict null checks</t>
  </si>
  <si>
    <t xml:space="preserve">SETUP-010</t>
  </si>
  <si>
    <t xml:space="preserve">Set up VS Code workspace settings</t>
  </si>
  <si>
    <t xml:space="preserve">Create .vscode/settings.json with recommended extensions and settings</t>
  </si>
  <si>
    <t xml:space="preserve">Include Python, TypeScript, Docker extensions</t>
  </si>
  <si>
    <t xml:space="preserve">CI/CD PIPELINE</t>
  </si>
  <si>
    <t xml:space="preserve">CI/CD</t>
  </si>
  <si>
    <t xml:space="preserve">SETUP-011</t>
  </si>
  <si>
    <t xml:space="preserve">Set up GitHub Actions workflows</t>
  </si>
  <si>
    <t xml:space="preserve">Create workflows for: lint, test, build, deploy (staging), deploy (production)</t>
  </si>
  <si>
    <t xml:space="preserve">Separate workflows for frontend and backend</t>
  </si>
  <si>
    <t xml:space="preserve">SETUP-012</t>
  </si>
  <si>
    <t xml:space="preserve">Configure automated testing in CI</t>
  </si>
  <si>
    <t xml:space="preserve">Set up test runners in CI pipeline with code coverage reporting</t>
  </si>
  <si>
    <t xml:space="preserve">Target 80% coverage minimum</t>
  </si>
  <si>
    <t xml:space="preserve">SETUP-013</t>
  </si>
  <si>
    <t xml:space="preserve">Set up staging environment</t>
  </si>
  <si>
    <t xml:space="preserve">Create staging environment mirroring production for testing</t>
  </si>
  <si>
    <t xml:space="preserve">Use same tech stack as production</t>
  </si>
  <si>
    <t xml:space="preserve">SETUP-014</t>
  </si>
  <si>
    <t xml:space="preserve">Configure production deployment pipeline</t>
  </si>
  <si>
    <t xml:space="preserve">Set up blue-green or rolling deployment strategy for zero-downtime</t>
  </si>
  <si>
    <t xml:space="preserve">Include rollback capabilities</t>
  </si>
  <si>
    <t xml:space="preserve">SETUP-015</t>
  </si>
  <si>
    <t xml:space="preserve">Set up environment secrets management</t>
  </si>
  <si>
    <t xml:space="preserve">Configure GitHub Secrets or cloud secrets manager for API keys</t>
  </si>
  <si>
    <t xml:space="preserve">Never commit secrets to repo</t>
  </si>
  <si>
    <t xml:space="preserve">MONITORING &amp; LOGGING</t>
  </si>
  <si>
    <t xml:space="preserve">Monitoring</t>
  </si>
  <si>
    <t xml:space="preserve">SETUP-016</t>
  </si>
  <si>
    <t xml:space="preserve">Set up application logging (Winston/Python logging)</t>
  </si>
  <si>
    <t xml:space="preserve">Configure structured logging with log levels and rotation</t>
  </si>
  <si>
    <t xml:space="preserve">Use JSON format for easier parsing</t>
  </si>
  <si>
    <t xml:space="preserve">SETUP-017</t>
  </si>
  <si>
    <t xml:space="preserve">Configure error tracking (Sentry)</t>
  </si>
  <si>
    <t xml:space="preserve">Set up Sentry for frontend and backend error monitoring</t>
  </si>
  <si>
    <t xml:space="preserve">Include source maps for stack traces</t>
  </si>
  <si>
    <t xml:space="preserve">SETUP-018</t>
  </si>
  <si>
    <t xml:space="preserve">Set up APM (Application Performance Monitoring)</t>
  </si>
  <si>
    <t xml:space="preserve">Configure monitoring for API latency, throughput, error rates</t>
  </si>
  <si>
    <t xml:space="preserve">Consider New Relic, DataDog, or Prometheus</t>
  </si>
  <si>
    <t xml:space="preserve">SETUP-019</t>
  </si>
  <si>
    <t xml:space="preserve">Configure database query monitoring</t>
  </si>
  <si>
    <t xml:space="preserve">Set up slow query logs and query performance tracking</t>
  </si>
  <si>
    <t xml:space="preserve">DB-004</t>
  </si>
  <si>
    <t xml:space="preserve">Monitor queries &gt;100ms</t>
  </si>
  <si>
    <t xml:space="preserve">SETUP-020</t>
  </si>
  <si>
    <t xml:space="preserve">Set up uptime monitoring</t>
  </si>
  <si>
    <t xml:space="preserve">Configure health checks and alerting for service downtime</t>
  </si>
  <si>
    <t xml:space="preserve">Use UptimeRobot or similar</t>
  </si>
  <si>
    <t xml:space="preserve">DATABASE DESIGN</t>
  </si>
  <si>
    <t xml:space="preserve">Database Schema</t>
  </si>
  <si>
    <t xml:space="preserve">DB-001</t>
  </si>
  <si>
    <t xml:space="preserve">Design database schema (ERD)</t>
  </si>
  <si>
    <t xml:space="preserve">Create Entity-Relationship Diagram for users, transcripts, tasks, meetings, integrations</t>
  </si>
  <si>
    <t xml:space="preserve">Include all relationships and constraints</t>
  </si>
  <si>
    <t xml:space="preserve">DB-002</t>
  </si>
  <si>
    <t xml:space="preserve">Define Users table schema</t>
  </si>
  <si>
    <t xml:space="preserve">Fields: id, email, name, timezone, created_at, updated_at, oauth_tokens (encrypted)</t>
  </si>
  <si>
    <t xml:space="preserve">Use UUID for id</t>
  </si>
  <si>
    <t xml:space="preserve">DB-003</t>
  </si>
  <si>
    <t xml:space="preserve">Define Transcripts table schema</t>
  </si>
  <si>
    <t xml:space="preserve">Fields: id, user_id, title, text, word_count, source, status, created_at, metadata (JSON)</t>
  </si>
  <si>
    <t xml:space="preserve">Index on user_id and created_at</t>
  </si>
  <si>
    <t xml:space="preserve">Define Tasks table schema</t>
  </si>
  <si>
    <t xml:space="preserve">Fields: id, transcript_id, title, description, owner_name, owner_user_id, due_date, confidence, scheduled_time, duration_minutes, status, created_at, updated_at</t>
  </si>
  <si>
    <t xml:space="preserve">Index on transcript_id, owner_user_id, due_date</t>
  </si>
  <si>
    <t xml:space="preserve">DB-005</t>
  </si>
  <si>
    <t xml:space="preserve">Define Integrations table schema</t>
  </si>
  <si>
    <t xml:space="preserve">Fields: id, user_id, service (enum), access_token (encrypted), refresh_token (encrypted), expires_at, scopes, metadata, created_at</t>
  </si>
  <si>
    <t xml:space="preserve">Encrypt all tokens at rest</t>
  </si>
  <si>
    <t xml:space="preserve">DB-006</t>
  </si>
  <si>
    <t xml:space="preserve">Define Jobs/Queue table schema</t>
  </si>
  <si>
    <t xml:space="preserve">Fields: id, user_id, job_type, status, payload, result, error, created_at, started_at, completed_at</t>
  </si>
  <si>
    <t xml:space="preserve">For async job tracking</t>
  </si>
  <si>
    <t xml:space="preserve">DATABASE SETUP</t>
  </si>
  <si>
    <t xml:space="preserve">Database Setup</t>
  </si>
  <si>
    <t xml:space="preserve">DB-007</t>
  </si>
  <si>
    <t xml:space="preserve">Set up PostgreSQL database</t>
  </si>
  <si>
    <t xml:space="preserve">Create database instance with proper configuration for production workload</t>
  </si>
  <si>
    <t xml:space="preserve">Configure connection pooling</t>
  </si>
  <si>
    <t xml:space="preserve">DB-008</t>
  </si>
  <si>
    <t xml:space="preserve">Configure database migrations (Alembic/Prisma)</t>
  </si>
  <si>
    <t xml:space="preserve">Set up migration tool with initial schema migration</t>
  </si>
  <si>
    <t xml:space="preserve">Version control all migrations</t>
  </si>
  <si>
    <t xml:space="preserve">DB-009</t>
  </si>
  <si>
    <t xml:space="preserve">Create database indexes</t>
  </si>
  <si>
    <t xml:space="preserve">Add indexes on foreign keys, search fields, and frequently queried columns</t>
  </si>
  <si>
    <t xml:space="preserve">Monitor index performance</t>
  </si>
  <si>
    <t xml:space="preserve">DB-010</t>
  </si>
  <si>
    <t xml:space="preserve">Implement database backup strategy</t>
  </si>
  <si>
    <t xml:space="preserve">Set up automated daily backups with retention policy</t>
  </si>
  <si>
    <t xml:space="preserve">Test restore process monthly</t>
  </si>
  <si>
    <t xml:space="preserve">DB-011</t>
  </si>
  <si>
    <t xml:space="preserve">Configure database connection pooling</t>
  </si>
  <si>
    <t xml:space="preserve">Set up connection pool with appropriate size limits</t>
  </si>
  <si>
    <t xml:space="preserve">Prevent connection exhaustion</t>
  </si>
  <si>
    <t xml:space="preserve">DB-012</t>
  </si>
  <si>
    <t xml:space="preserve">Set up database read replicas</t>
  </si>
  <si>
    <t xml:space="preserve">Configure read replicas for scaling read-heavy queries</t>
  </si>
  <si>
    <t xml:space="preserve">For future scalability</t>
  </si>
  <si>
    <t xml:space="preserve">STORAGE</t>
  </si>
  <si>
    <t xml:space="preserve">Storage</t>
  </si>
  <si>
    <t xml:space="preserve">DB-013</t>
  </si>
  <si>
    <t xml:space="preserve">Set up S3/Object Storage for media files</t>
  </si>
  <si>
    <t xml:space="preserve">Configure S3 bucket for audio/video transcript files</t>
  </si>
  <si>
    <t xml:space="preserve">Set lifecycle policies for cost optimization</t>
  </si>
  <si>
    <t xml:space="preserve">DB-014</t>
  </si>
  <si>
    <t xml:space="preserve">Configure Redis for caching</t>
  </si>
  <si>
    <t xml:space="preserve">Set up Redis instance for session storage and query caching</t>
  </si>
  <si>
    <t xml:space="preserve">Configure eviction policy</t>
  </si>
  <si>
    <t xml:space="preserve">DB-015</t>
  </si>
  <si>
    <t xml:space="preserve">Set up Redis for message queue</t>
  </si>
  <si>
    <t xml:space="preserve">Configure Redis for job queue if using BullMQ</t>
  </si>
  <si>
    <t xml:space="preserve">Or use RabbitMQ/SQS alternative</t>
  </si>
  <si>
    <t xml:space="preserve">BACKEND FOUNDATION</t>
  </si>
  <si>
    <t xml:space="preserve">Backend Setup</t>
  </si>
  <si>
    <t xml:space="preserve">BE-001</t>
  </si>
  <si>
    <t xml:space="preserve">Initialize backend project (FastAPI/NestJS)</t>
  </si>
  <si>
    <t xml:space="preserve">Set up project with framework, folder structure, and basic configuration</t>
  </si>
  <si>
    <t xml:space="preserve">Decision: Python FastAPI vs Node NestJS</t>
  </si>
  <si>
    <t xml:space="preserve">BE-002</t>
  </si>
  <si>
    <t xml:space="preserve">Set up database ORM (SQLAlchemy/Prisma)</t>
  </si>
  <si>
    <t xml:space="preserve">Configure ORM with database connection and model definitions</t>
  </si>
  <si>
    <t xml:space="preserve">BE-001, DB-008</t>
  </si>
  <si>
    <t xml:space="preserve">BE-003</t>
  </si>
  <si>
    <t xml:space="preserve">Implement database models</t>
  </si>
  <si>
    <t xml:space="preserve">Create ORM models for all tables matching schema</t>
  </si>
  <si>
    <t xml:space="preserve">BE-002, DB-002 to DB-006</t>
  </si>
  <si>
    <t xml:space="preserve">Include relationships and validators</t>
  </si>
  <si>
    <t xml:space="preserve">BE-004</t>
  </si>
  <si>
    <t xml:space="preserve">Set up API routing structure</t>
  </si>
  <si>
    <t xml:space="preserve">Create route modules for: /auth, /transcripts, /tasks, /integrations, /users</t>
  </si>
  <si>
    <t xml:space="preserve">Use router/controller pattern</t>
  </si>
  <si>
    <t xml:space="preserve">BE-005</t>
  </si>
  <si>
    <t xml:space="preserve">Implement request/response schemas</t>
  </si>
  <si>
    <t xml:space="preserve">Define Pydantic models (FastAPI) or DTOs (NestJS) for all endpoints</t>
  </si>
  <si>
    <t xml:space="preserve">Include validation rules</t>
  </si>
  <si>
    <t xml:space="preserve">BE-006</t>
  </si>
  <si>
    <t xml:space="preserve">Set up CORS configuration</t>
  </si>
  <si>
    <t xml:space="preserve">Configure CORS to allow frontend domain requests</t>
  </si>
  <si>
    <t xml:space="preserve">Restrict to specific origins in production</t>
  </si>
  <si>
    <t xml:space="preserve">BE-007</t>
  </si>
  <si>
    <t xml:space="preserve">Implement global error handling middleware</t>
  </si>
  <si>
    <t xml:space="preserve">Create middleware for catching and formatting all errors</t>
  </si>
  <si>
    <t xml:space="preserve">Return consistent error structure</t>
  </si>
  <si>
    <t xml:space="preserve">BE-008</t>
  </si>
  <si>
    <t xml:space="preserve">Set up request logging middleware</t>
  </si>
  <si>
    <t xml:space="preserve">Log all incoming requests with timing and status codes</t>
  </si>
  <si>
    <t xml:space="preserve">BE-001, SETUP-016</t>
  </si>
  <si>
    <t xml:space="preserve">AUTHENTICATION &amp; AUTHORIZATION</t>
  </si>
  <si>
    <t xml:space="preserve">Auth</t>
  </si>
  <si>
    <t xml:space="preserve">BE-009</t>
  </si>
  <si>
    <t xml:space="preserve">Design authentication strategy</t>
  </si>
  <si>
    <t xml:space="preserve">Choose between JWT, sessions, or token-based auth</t>
  </si>
  <si>
    <t xml:space="preserve">Consider OAuth requirements</t>
  </si>
  <si>
    <t xml:space="preserve">BE-010</t>
  </si>
  <si>
    <t xml:space="preserve">Implement user registration endpoint</t>
  </si>
  <si>
    <t xml:space="preserve">POST /auth/register - create user account</t>
  </si>
  <si>
    <t xml:space="preserve">BE-009, BE-003</t>
  </si>
  <si>
    <t xml:space="preserve">Email validation and password hashing</t>
  </si>
  <si>
    <t xml:space="preserve">BE-011</t>
  </si>
  <si>
    <t xml:space="preserve">Implement login endpoint</t>
  </si>
  <si>
    <t xml:space="preserve">POST /auth/login - authenticate user and return token/session</t>
  </si>
  <si>
    <t xml:space="preserve">Rate limit login attempts</t>
  </si>
  <si>
    <t xml:space="preserve">BE-012</t>
  </si>
  <si>
    <t xml:space="preserve">Implement logout endpoint</t>
  </si>
  <si>
    <t xml:space="preserve">POST /auth/logout - invalidate token/session</t>
  </si>
  <si>
    <t xml:space="preserve">BE-013</t>
  </si>
  <si>
    <t xml:space="preserve">Implement password reset flow</t>
  </si>
  <si>
    <t xml:space="preserve">Endpoints for requesting and completing password reset</t>
  </si>
  <si>
    <t xml:space="preserve">Use time-limited tokens</t>
  </si>
  <si>
    <t xml:space="preserve">BE-014</t>
  </si>
  <si>
    <t xml:space="preserve">Create authentication middleware</t>
  </si>
  <si>
    <t xml:space="preserve">Middleware to verify token/session on protected routes</t>
  </si>
  <si>
    <t xml:space="preserve">BE-015</t>
  </si>
  <si>
    <t xml:space="preserve">Implement role-based access control (RBAC)</t>
  </si>
  <si>
    <t xml:space="preserve">Add user roles and permission checking</t>
  </si>
  <si>
    <t xml:space="preserve">For future admin features</t>
  </si>
  <si>
    <t xml:space="preserve">BE-016</t>
  </si>
  <si>
    <t xml:space="preserve">Set up OAuth 2.0 flow for Google</t>
  </si>
  <si>
    <t xml:space="preserve">Implement OAuth login with Google for calendar access</t>
  </si>
  <si>
    <t xml:space="preserve">Request minimal scopes initially</t>
  </si>
  <si>
    <t xml:space="preserve">BE-017</t>
  </si>
  <si>
    <t xml:space="preserve">Implement token refresh mechanism</t>
  </si>
  <si>
    <t xml:space="preserve">Auto-refresh OAuth tokens before expiry</t>
  </si>
  <si>
    <t xml:space="preserve">Store refresh tokens securely</t>
  </si>
  <si>
    <t xml:space="preserve">TRANSCRIPT APIs</t>
  </si>
  <si>
    <t xml:space="preserve">Transcript API</t>
  </si>
  <si>
    <t xml:space="preserve">BE-018</t>
  </si>
  <si>
    <t xml:space="preserve">Implement POST /api/transcripts endpoint</t>
  </si>
  <si>
    <t xml:space="preserve">Accept transcript upload, validate, save to DB, enqueue job</t>
  </si>
  <si>
    <t xml:space="preserve">BE-004, BE-014</t>
  </si>
  <si>
    <t xml:space="preserve">Return 202 with job ID</t>
  </si>
  <si>
    <t xml:space="preserve">BE-019</t>
  </si>
  <si>
    <t xml:space="preserve">Implement GET /api/transcripts endpoint</t>
  </si>
  <si>
    <t xml:space="preserve">List user's transcripts with pagination</t>
  </si>
  <si>
    <t xml:space="preserve">Default page size 20</t>
  </si>
  <si>
    <t xml:space="preserve">BE-020</t>
  </si>
  <si>
    <t xml:space="preserve">Implement GET /api/transcripts/{id} endpoint</t>
  </si>
  <si>
    <t xml:space="preserve">Retrieve single transcript details</t>
  </si>
  <si>
    <t xml:space="preserve">Include task count</t>
  </si>
  <si>
    <t xml:space="preserve">BE-021</t>
  </si>
  <si>
    <t xml:space="preserve">Implement DELETE /api/transcripts/{id} endpoint</t>
  </si>
  <si>
    <t xml:space="preserve">Soft delete transcript and associated tasks</t>
  </si>
  <si>
    <t xml:space="preserve">Cascade to tasks</t>
  </si>
  <si>
    <t xml:space="preserve">BE-022</t>
  </si>
  <si>
    <t xml:space="preserve">Add transcript text validation</t>
  </si>
  <si>
    <t xml:space="preserve">Validate max length, encoding, and content sanitization</t>
  </si>
  <si>
    <t xml:space="preserve">Prevent injection attacks</t>
  </si>
  <si>
    <t xml:space="preserve">BE-023</t>
  </si>
  <si>
    <t xml:space="preserve">Implement transcript search endpoint</t>
  </si>
  <si>
    <t xml:space="preserve">GET /api/transcripts/search with title/content filtering</t>
  </si>
  <si>
    <t xml:space="preserve">Use full-text search</t>
  </si>
  <si>
    <t xml:space="preserve">TASK APIs</t>
  </si>
  <si>
    <t xml:space="preserve">Task API</t>
  </si>
  <si>
    <t xml:space="preserve">BE-024</t>
  </si>
  <si>
    <t xml:space="preserve">Implement GET /api/transcripts/{id}/tasks endpoint</t>
  </si>
  <si>
    <t xml:space="preserve">Retrieve all tasks for a transcript</t>
  </si>
  <si>
    <t xml:space="preserve">Sort by confidence desc</t>
  </si>
  <si>
    <t xml:space="preserve">BE-025</t>
  </si>
  <si>
    <t xml:space="preserve">Implement GET /api/tasks/{id} endpoint</t>
  </si>
  <si>
    <t xml:space="preserve">Retrieve single task details</t>
  </si>
  <si>
    <t xml:space="preserve">BE-026</t>
  </si>
  <si>
    <t xml:space="preserve">Implement PATCH /api/tasks/{id} endpoint</t>
  </si>
  <si>
    <t xml:space="preserve">Update task fields (title, owner, due_date, etc.)</t>
  </si>
  <si>
    <t xml:space="preserve">Validate date formats</t>
  </si>
  <si>
    <t xml:space="preserve">BE-027</t>
  </si>
  <si>
    <t xml:space="preserve">Implement DELETE /api/tasks/{id} endpoint</t>
  </si>
  <si>
    <t xml:space="preserve">Delete a task</t>
  </si>
  <si>
    <t xml:space="preserve">Also remove calendar event if scheduled</t>
  </si>
  <si>
    <t xml:space="preserve">BE-028</t>
  </si>
  <si>
    <t xml:space="preserve">Implement POST /api/schedule endpoint</t>
  </si>
  <si>
    <t xml:space="preserve">Trigger scheduling for specified task IDs</t>
  </si>
  <si>
    <t xml:space="preserve">Enqueue scheduling job</t>
  </si>
  <si>
    <t xml:space="preserve">BE-029</t>
  </si>
  <si>
    <t xml:space="preserve">Implement GET /api/tasks endpoint</t>
  </si>
  <si>
    <t xml:space="preserve">List all user's tasks with filters (status, due_date range)</t>
  </si>
  <si>
    <t xml:space="preserve">Support pagination and sorting</t>
  </si>
  <si>
    <t xml:space="preserve">BE-030</t>
  </si>
  <si>
    <t xml:space="preserve">Add bulk task operations endpoint</t>
  </si>
  <si>
    <t xml:space="preserve">PATCH /api/tasks/bulk for batch updates</t>
  </si>
  <si>
    <t xml:space="preserve">Accept/reject multiple tasks</t>
  </si>
  <si>
    <t xml:space="preserve">INTEGRATION APIs</t>
  </si>
  <si>
    <t xml:space="preserve">Integration API</t>
  </si>
  <si>
    <t xml:space="preserve">BE-031</t>
  </si>
  <si>
    <t xml:space="preserve">Implement GET /api/integrations endpoint</t>
  </si>
  <si>
    <t xml:space="preserve">List user's connected integrations</t>
  </si>
  <si>
    <t xml:space="preserve">Mask sensitive tokens</t>
  </si>
  <si>
    <t xml:space="preserve">BE-032</t>
  </si>
  <si>
    <t xml:space="preserve">Implement POST /api/integrations/google endpoint</t>
  </si>
  <si>
    <t xml:space="preserve">Complete Google OAuth flow and save tokens</t>
  </si>
  <si>
    <t xml:space="preserve">Handle OAuth callback</t>
  </si>
  <si>
    <t xml:space="preserve">BE-033</t>
  </si>
  <si>
    <t xml:space="preserve">Implement DELETE /api/integrations/{service} endpoint</t>
  </si>
  <si>
    <t xml:space="preserve">Disconnect integration and revoke tokens</t>
  </si>
  <si>
    <t xml:space="preserve">Call provider revocation endpoint</t>
  </si>
  <si>
    <t xml:space="preserve">BE-034</t>
  </si>
  <si>
    <t xml:space="preserve">Implement POST /api/integrations/slack endpoint</t>
  </si>
  <si>
    <t xml:space="preserve">Complete Slack OAuth flow</t>
  </si>
  <si>
    <t xml:space="preserve">BE-035</t>
  </si>
  <si>
    <t xml:space="preserve">Add integration health check endpoint</t>
  </si>
  <si>
    <t xml:space="preserve">GET /api/integrations/{service}/status - test connection</t>
  </si>
  <si>
    <t xml:space="preserve">Verify token validity</t>
  </si>
  <si>
    <t xml:space="preserve">LLM SERVICE SETUP</t>
  </si>
  <si>
    <t xml:space="preserve">LLM Setup</t>
  </si>
  <si>
    <t xml:space="preserve">LLM-001</t>
  </si>
  <si>
    <t xml:space="preserve">Set up OpenAI API integration</t>
  </si>
  <si>
    <t xml:space="preserve">Configure OpenAI client library with API key management</t>
  </si>
  <si>
    <t xml:space="preserve">Use environment variables for keys</t>
  </si>
  <si>
    <t xml:space="preserve">LLM-002</t>
  </si>
  <si>
    <t xml:space="preserve">Implement token counting utility</t>
  </si>
  <si>
    <t xml:space="preserve">Create function to count tokens using tiktoken library</t>
  </si>
  <si>
    <t xml:space="preserve">For chunk size calculation</t>
  </si>
  <si>
    <t xml:space="preserve">LLM-003</t>
  </si>
  <si>
    <t xml:space="preserve">Design system prompt template</t>
  </si>
  <si>
    <t xml:space="preserve">Create prompt instructing LLM to extract tasks in JSON format</t>
  </si>
  <si>
    <t xml:space="preserve">ML Engineer</t>
  </si>
  <si>
    <t xml:space="preserve">Iterate and test multiple versions</t>
  </si>
  <si>
    <t xml:space="preserve">LLM-004</t>
  </si>
  <si>
    <t xml:space="preserve">Create prompt template with examples</t>
  </si>
  <si>
    <t xml:space="preserve">Add few-shot examples to improve extraction accuracy</t>
  </si>
  <si>
    <t xml:space="preserve">Use 3-5 diverse examples</t>
  </si>
  <si>
    <t xml:space="preserve">LLM-005</t>
  </si>
  <si>
    <t xml:space="preserve">Implement LLM client wrapper</t>
  </si>
  <si>
    <t xml:space="preserve">Create service class for calling GPT-4 with retry logic</t>
  </si>
  <si>
    <t xml:space="preserve">Include exponential backoff</t>
  </si>
  <si>
    <t xml:space="preserve">LLM-006</t>
  </si>
  <si>
    <t xml:space="preserve">Add LLM response caching</t>
  </si>
  <si>
    <t xml:space="preserve">Cache identical prompts to reduce API costs</t>
  </si>
  <si>
    <t xml:space="preserve">LLM-005, DB-014</t>
  </si>
  <si>
    <t xml:space="preserve">Use Redis with 24h TTL</t>
  </si>
  <si>
    <t xml:space="preserve">LLM-007</t>
  </si>
  <si>
    <t xml:space="preserve">Implement rate limiting for LLM calls</t>
  </si>
  <si>
    <t xml:space="preserve">Prevent exceeding OpenAI rate limits</t>
  </si>
  <si>
    <t xml:space="preserve">Track requests per minute</t>
  </si>
  <si>
    <t xml:space="preserve">TRANSCRIPT PROCESSING</t>
  </si>
  <si>
    <t xml:space="preserve">Processing</t>
  </si>
  <si>
    <t xml:space="preserve">LLM-008</t>
  </si>
  <si>
    <t xml:space="preserve">Implement transcript chunking logic</t>
  </si>
  <si>
    <t xml:space="preserve">Split long transcripts by speaker turns/paragraphs within token limits</t>
  </si>
  <si>
    <t xml:space="preserve">Target 2000 tokens per chunk with overlap</t>
  </si>
  <si>
    <t xml:space="preserve">LLM-009</t>
  </si>
  <si>
    <t xml:space="preserve">Add chunk overlap strategy</t>
  </si>
  <si>
    <t xml:space="preserve">Ensure no tasks split across chunk boundaries</t>
  </si>
  <si>
    <t xml:space="preserve">50-100 token overlap</t>
  </si>
  <si>
    <t xml:space="preserve">LLM-010</t>
  </si>
  <si>
    <t xml:space="preserve">Implement speaker turn detection</t>
  </si>
  <si>
    <t xml:space="preserve">Parse transcript to identify speaker changes</t>
  </si>
  <si>
    <t xml:space="preserve">Regex for 'Name:' patterns</t>
  </si>
  <si>
    <t xml:space="preserve">LLM-011</t>
  </si>
  <si>
    <t xml:space="preserve">Create transcript preprocessing pipeline</t>
  </si>
  <si>
    <t xml:space="preserve">Clean text: remove filler words, fix encoding, normalize whitespace</t>
  </si>
  <si>
    <t xml:space="preserve">Preserve meaning</t>
  </si>
  <si>
    <t xml:space="preserve">TASK EXTRACTION</t>
  </si>
  <si>
    <t xml:space="preserve">Extraction</t>
  </si>
  <si>
    <t xml:space="preserve">LLM-012</t>
  </si>
  <si>
    <t xml:space="preserve">Implement main extraction function</t>
  </si>
  <si>
    <t xml:space="preserve">Core function: extractTasks(transcript_text) -&gt; List[Task]</t>
  </si>
  <si>
    <t xml:space="preserve">LLM-005, LLM-008</t>
  </si>
  <si>
    <t xml:space="preserve">Handle multiple chunks</t>
  </si>
  <si>
    <t xml:space="preserve">LLM-013</t>
  </si>
  <si>
    <t xml:space="preserve">Implement JSON parsing with validation</t>
  </si>
  <si>
    <t xml:space="preserve">Parse LLM output, validate schema, handle malformed JSON</t>
  </si>
  <si>
    <t xml:space="preserve">Use Pydantic for validation</t>
  </si>
  <si>
    <t xml:space="preserve">LLM-014</t>
  </si>
  <si>
    <t xml:space="preserve">Add fallback for parsing failures</t>
  </si>
  <si>
    <t xml:space="preserve">Retry with more explicit prompt if JSON invalid</t>
  </si>
  <si>
    <t xml:space="preserve">Max 2 retries</t>
  </si>
  <si>
    <t xml:space="preserve">LLM-015</t>
  </si>
  <si>
    <t xml:space="preserve">Implement confidence scoring</t>
  </si>
  <si>
    <t xml:space="preserve">Calculate confidence from token log probabilities</t>
  </si>
  <si>
    <t xml:space="preserve">Use logprobs API parameter</t>
  </si>
  <si>
    <t xml:space="preserve">LLM-016</t>
  </si>
  <si>
    <t xml:space="preserve">Create confidence normalization logic</t>
  </si>
  <si>
    <t xml:space="preserve">Map raw probabilities to 0-1 confidence score</t>
  </si>
  <si>
    <t xml:space="preserve">Calibrate thresholds</t>
  </si>
  <si>
    <t xml:space="preserve">LLM-017</t>
  </si>
  <si>
    <t xml:space="preserve">Implement task deduplication</t>
  </si>
  <si>
    <t xml:space="preserve">Merge similar/duplicate tasks from multiple chunks</t>
  </si>
  <si>
    <t xml:space="preserve">Use fuzzy string matching</t>
  </si>
  <si>
    <t xml:space="preserve">NAME &amp; DATE PARSING</t>
  </si>
  <si>
    <t xml:space="preserve">Parsing</t>
  </si>
  <si>
    <t xml:space="preserve">LLM-018</t>
  </si>
  <si>
    <t xml:space="preserve">Set up spaCy for NER</t>
  </si>
  <si>
    <t xml:space="preserve">Install and configure spaCy for named entity recognition</t>
  </si>
  <si>
    <t xml:space="preserve">Use en_core_web_sm model</t>
  </si>
  <si>
    <t xml:space="preserve">LLM-019</t>
  </si>
  <si>
    <t xml:space="preserve">Implement name-to-user mapping</t>
  </si>
  <si>
    <t xml:space="preserve">Match extracted owner names to user database</t>
  </si>
  <si>
    <t xml:space="preserve">LLM-018, BE-003</t>
  </si>
  <si>
    <t xml:space="preserve">Handle nicknames and partial names</t>
  </si>
  <si>
    <t xml:space="preserve">LLM-020</t>
  </si>
  <si>
    <t xml:space="preserve">Create participant detection from transcript</t>
  </si>
  <si>
    <t xml:space="preserve">Extract all speaker names from transcript header/body</t>
  </si>
  <si>
    <t xml:space="preserve">Build participant list</t>
  </si>
  <si>
    <t xml:space="preserve">LLM-021</t>
  </si>
  <si>
    <t xml:space="preserve">Implement fuzzy name matching</t>
  </si>
  <si>
    <t xml:space="preserve">Use Levenshtein distance for name similarity</t>
  </si>
  <si>
    <t xml:space="preserve">Threshold: 0.8 similarity</t>
  </si>
  <si>
    <t xml:space="preserve">LLM-022</t>
  </si>
  <si>
    <t xml:space="preserve">Set up dateparser library</t>
  </si>
  <si>
    <t xml:space="preserve">Configure natural language date parsing</t>
  </si>
  <si>
    <t xml:space="preserve">Handle relative dates</t>
  </si>
  <si>
    <t xml:space="preserve">LLM-023</t>
  </si>
  <si>
    <t xml:space="preserve">Implement due date parsing</t>
  </si>
  <si>
    <t xml:space="preserve">Parse 'next Friday', 'by EOD', etc. to timestamps</t>
  </si>
  <si>
    <t xml:space="preserve">Use meeting date as reference</t>
  </si>
  <si>
    <t xml:space="preserve">LLM-024</t>
  </si>
  <si>
    <t xml:space="preserve">Add timezone handling for dates</t>
  </si>
  <si>
    <t xml:space="preserve">Convert parsed dates to UTC considering user timezone</t>
  </si>
  <si>
    <t xml:space="preserve">Use pytz or zoneinfo</t>
  </si>
  <si>
    <t xml:space="preserve">LLM-025</t>
  </si>
  <si>
    <t xml:space="preserve">Implement ambiguous date resolution</t>
  </si>
  <si>
    <t xml:space="preserve">Handle cases like 'Monday' (this week vs next week)</t>
  </si>
  <si>
    <t xml:space="preserve">Default to future dates</t>
  </si>
  <si>
    <t xml:space="preserve">ERROR HANDLING</t>
  </si>
  <si>
    <t xml:space="preserve">Error Handling</t>
  </si>
  <si>
    <t xml:space="preserve">LLM-026</t>
  </si>
  <si>
    <t xml:space="preserve">Add timeout handling for LLM calls</t>
  </si>
  <si>
    <t xml:space="preserve">Set timeout (30s) and handle gracefully</t>
  </si>
  <si>
    <t xml:space="preserve">Return partial results if available</t>
  </si>
  <si>
    <t xml:space="preserve">LLM-027</t>
  </si>
  <si>
    <t xml:space="preserve">Implement fallback to smaller model</t>
  </si>
  <si>
    <t xml:space="preserve">Use GPT-3.5-turbo if GPT-4 fails</t>
  </si>
  <si>
    <t xml:space="preserve">Log model downgrades</t>
  </si>
  <si>
    <t xml:space="preserve">LLM-028</t>
  </si>
  <si>
    <t xml:space="preserve">Add low-confidence task flagging</t>
  </si>
  <si>
    <t xml:space="preserve">Auto-flag tasks with confidence &lt;60% for review</t>
  </si>
  <si>
    <t xml:space="preserve">Set status to 'needs_review'</t>
  </si>
  <si>
    <t xml:space="preserve">LLM-029</t>
  </si>
  <si>
    <t xml:space="preserve">Create extraction failure alert</t>
  </si>
  <si>
    <t xml:space="preserve">Notify user when extraction completely fails</t>
  </si>
  <si>
    <t xml:space="preserve">Provide fallback manual entry</t>
  </si>
  <si>
    <t xml:space="preserve">LLM-030</t>
  </si>
  <si>
    <t xml:space="preserve">Log all LLM errors with context</t>
  </si>
  <si>
    <t xml:space="preserve">Track prompt, error, chunk, and retry attempts</t>
  </si>
  <si>
    <t xml:space="preserve">LLM-005, SETUP-016</t>
  </si>
  <si>
    <t xml:space="preserve">For debugging and monitoring</t>
  </si>
  <si>
    <t xml:space="preserve">QUEUE SETUP</t>
  </si>
  <si>
    <t xml:space="preserve">Queue Setup</t>
  </si>
  <si>
    <t xml:space="preserve">WKR-001</t>
  </si>
  <si>
    <t xml:space="preserve">Choose message queue technology</t>
  </si>
  <si>
    <t xml:space="preserve">Decide: RabbitMQ, Redis Queue, AWS SQS, or BullMQ</t>
  </si>
  <si>
    <t xml:space="preserve">Consider hosting and scalability</t>
  </si>
  <si>
    <t xml:space="preserve">WKR-002</t>
  </si>
  <si>
    <t xml:space="preserve">Set up message queue infrastructure</t>
  </si>
  <si>
    <t xml:space="preserve">Install and configure chosen queue system</t>
  </si>
  <si>
    <t xml:space="preserve">WKR-001, DB-015</t>
  </si>
  <si>
    <t xml:space="preserve">WKR-003</t>
  </si>
  <si>
    <t xml:space="preserve">Configure Celery workers (if Python)</t>
  </si>
  <si>
    <t xml:space="preserve">Set up Celery with Redis/RabbitMQ backend</t>
  </si>
  <si>
    <t xml:space="preserve">WKR-002, BE-001</t>
  </si>
  <si>
    <t xml:space="preserve">Or BullMQ for Node.js</t>
  </si>
  <si>
    <t xml:space="preserve">WKR-004</t>
  </si>
  <si>
    <t xml:space="preserve">Implement job queue models</t>
  </si>
  <si>
    <t xml:space="preserve">Define job structure: type, payload, status, retries</t>
  </si>
  <si>
    <t xml:space="preserve">WKR-003, DB-006</t>
  </si>
  <si>
    <t xml:space="preserve">WKR-005</t>
  </si>
  <si>
    <t xml:space="preserve">Create job enqueuing utility</t>
  </si>
  <si>
    <t xml:space="preserve">Helper function to add jobs to queue from API</t>
  </si>
  <si>
    <t xml:space="preserve">WKR-006</t>
  </si>
  <si>
    <t xml:space="preserve">Implement job status tracking</t>
  </si>
  <si>
    <t xml:space="preserve">Update job status in DB: pending, processing, completed, failed</t>
  </si>
  <si>
    <t xml:space="preserve">WKR-007</t>
  </si>
  <si>
    <t xml:space="preserve">Add job retry logic</t>
  </si>
  <si>
    <t xml:space="preserve">Auto-retry failed jobs with exponential backoff</t>
  </si>
  <si>
    <t xml:space="preserve">Max 3 retries</t>
  </si>
  <si>
    <t xml:space="preserve">WKR-008</t>
  </si>
  <si>
    <t xml:space="preserve">Implement job timeout handling</t>
  </si>
  <si>
    <t xml:space="preserve">Kill jobs exceeding max execution time (5 min)</t>
  </si>
  <si>
    <t xml:space="preserve">WKR-009</t>
  </si>
  <si>
    <t xml:space="preserve">Create job result storage</t>
  </si>
  <si>
    <t xml:space="preserve">Store job output in DB for API retrieval</t>
  </si>
  <si>
    <t xml:space="preserve">EXTRACTION WORKER</t>
  </si>
  <si>
    <t xml:space="preserve">Worker</t>
  </si>
  <si>
    <t xml:space="preserve">WKR-010</t>
  </si>
  <si>
    <t xml:space="preserve">Create extraction worker process</t>
  </si>
  <si>
    <t xml:space="preserve">Worker to consume extract_tasks jobs from queue</t>
  </si>
  <si>
    <t xml:space="preserve">WKR-003, LLM-012</t>
  </si>
  <si>
    <t xml:space="preserve">WKR-011</t>
  </si>
  <si>
    <t xml:space="preserve">Implement task extraction job handler</t>
  </si>
  <si>
    <t xml:space="preserve">Process: fetch transcript -&gt; extract tasks -&gt; save to DB</t>
  </si>
  <si>
    <t xml:space="preserve">WKR-010, LLM-012</t>
  </si>
  <si>
    <t xml:space="preserve">WKR-012</t>
  </si>
  <si>
    <t xml:space="preserve">Add task confidence filtering</t>
  </si>
  <si>
    <t xml:space="preserve">Filter out tasks below minimum confidence threshold</t>
  </si>
  <si>
    <t xml:space="preserve">WKR-011, LLM-016</t>
  </si>
  <si>
    <t xml:space="preserve">Configurable threshold</t>
  </si>
  <si>
    <t xml:space="preserve">WKR-013</t>
  </si>
  <si>
    <t xml:space="preserve">Implement extraction progress updates</t>
  </si>
  <si>
    <t xml:space="preserve">Update job status during chunked processing</t>
  </si>
  <si>
    <t xml:space="preserve">Show % complete</t>
  </si>
  <si>
    <t xml:space="preserve">WKR-014</t>
  </si>
  <si>
    <t xml:space="preserve">Add extraction result validation</t>
  </si>
  <si>
    <t xml:space="preserve">Validate all required fields present before saving</t>
  </si>
  <si>
    <t xml:space="preserve">WKR-015</t>
  </si>
  <si>
    <t xml:space="preserve">Create notification trigger</t>
  </si>
  <si>
    <t xml:space="preserve">Trigger user notification when extraction completes</t>
  </si>
  <si>
    <t xml:space="preserve">Email or in-app notification</t>
  </si>
  <si>
    <t xml:space="preserve">SCHEDULING WORKER</t>
  </si>
  <si>
    <t xml:space="preserve">WKR-016</t>
  </si>
  <si>
    <t xml:space="preserve">Create scheduling worker process</t>
  </si>
  <si>
    <t xml:space="preserve">Worker to consume schedule_tasks jobs from queue</t>
  </si>
  <si>
    <t xml:space="preserve">WKR-017</t>
  </si>
  <si>
    <t xml:space="preserve">Implement scheduling job handler</t>
  </si>
  <si>
    <t xml:space="preserve">Process: fetch tasks -&gt; get calendar availability -&gt; assign slots</t>
  </si>
  <si>
    <t xml:space="preserve">WKR-016, SCHED-001</t>
  </si>
  <si>
    <t xml:space="preserve">WKR-018</t>
  </si>
  <si>
    <t xml:space="preserve">Add scheduling conflict detection</t>
  </si>
  <si>
    <t xml:space="preserve">Identify tasks that cannot be scheduled</t>
  </si>
  <si>
    <t xml:space="preserve">WKR-019</t>
  </si>
  <si>
    <t xml:space="preserve">Implement calendar event creation</t>
  </si>
  <si>
    <t xml:space="preserve">Create Google Calendar events for scheduled tasks</t>
  </si>
  <si>
    <t xml:space="preserve">WKR-017, INT-003</t>
  </si>
  <si>
    <t xml:space="preserve">WKR-020</t>
  </si>
  <si>
    <t xml:space="preserve">Add scheduling result notification</t>
  </si>
  <si>
    <t xml:space="preserve">Notify user of scheduled tasks and conflicts</t>
  </si>
  <si>
    <t xml:space="preserve">INTEGRATION WORKERS</t>
  </si>
  <si>
    <t xml:space="preserve">WKR-021</t>
  </si>
  <si>
    <t xml:space="preserve">Create Slack notification worker</t>
  </si>
  <si>
    <t xml:space="preserve">Worker to send Slack messages for completed tasks</t>
  </si>
  <si>
    <t xml:space="preserve">WKR-003, INT-010</t>
  </si>
  <si>
    <t xml:space="preserve">WKR-022</t>
  </si>
  <si>
    <t xml:space="preserve">Create Notion sync worker</t>
  </si>
  <si>
    <t xml:space="preserve">Worker to create Notion pages for tasks</t>
  </si>
  <si>
    <t xml:space="preserve">WKR-003, INT-015</t>
  </si>
  <si>
    <t xml:space="preserve">If Notion integration enabled</t>
  </si>
  <si>
    <t xml:space="preserve">WKR-023</t>
  </si>
  <si>
    <t xml:space="preserve">Implement worker health monitoring</t>
  </si>
  <si>
    <t xml:space="preserve">Track worker uptime, job throughput, error rates</t>
  </si>
  <si>
    <t xml:space="preserve">WKR-024</t>
  </si>
  <si>
    <t xml:space="preserve">Add worker auto-scaling logic</t>
  </si>
  <si>
    <t xml:space="preserve">Scale workers based on queue depth</t>
  </si>
  <si>
    <t xml:space="preserve">WKR-003, SETUP-013</t>
  </si>
  <si>
    <t xml:space="preserve">For production optimization</t>
  </si>
  <si>
    <t xml:space="preserve">SCHEDULING ALGORITHM</t>
  </si>
  <si>
    <t xml:space="preserve">Algorithm</t>
  </si>
  <si>
    <t xml:space="preserve">SCHED-001</t>
  </si>
  <si>
    <t xml:space="preserve">Design scheduling algorithm</t>
  </si>
  <si>
    <t xml:space="preserve">Design earliest-deadline-first greedy algorithm</t>
  </si>
  <si>
    <t xml:space="preserve">Documented in PRD section 4</t>
  </si>
  <si>
    <t xml:space="preserve">SCHED-002</t>
  </si>
  <si>
    <t xml:space="preserve">Implement task sorting logic</t>
  </si>
  <si>
    <t xml:space="preserve">Sort tasks by deadline, then priority</t>
  </si>
  <si>
    <t xml:space="preserve">SCHED-003</t>
  </si>
  <si>
    <t xml:space="preserve">Create calendar availability query</t>
  </si>
  <si>
    <t xml:space="preserve">Function to get user's free/busy slots from calendar</t>
  </si>
  <si>
    <t xml:space="preserve">INT-003</t>
  </si>
  <si>
    <t xml:space="preserve">SCHED-004</t>
  </si>
  <si>
    <t xml:space="preserve">Implement free slot detection</t>
  </si>
  <si>
    <t xml:space="preserve">Parse calendar response into list of available time blocks</t>
  </si>
  <si>
    <t xml:space="preserve">Account for buffer time between events</t>
  </si>
  <si>
    <t xml:space="preserve">SCHED-005</t>
  </si>
  <si>
    <t xml:space="preserve">Add working hours filtering</t>
  </si>
  <si>
    <t xml:space="preserve">Respect user's defined working hours (e.g., 9am-5pm)</t>
  </si>
  <si>
    <t xml:space="preserve">Store in user preferences</t>
  </si>
  <si>
    <t xml:space="preserve">SCHED-006</t>
  </si>
  <si>
    <t xml:space="preserve">Implement timezone conversion</t>
  </si>
  <si>
    <t xml:space="preserve">Convert all times to UTC for processing, then back to local</t>
  </si>
  <si>
    <t xml:space="preserve">Use IANA tz database</t>
  </si>
  <si>
    <t xml:space="preserve">SCHED-007</t>
  </si>
  <si>
    <t xml:space="preserve">Create greedy slot assignment</t>
  </si>
  <si>
    <t xml:space="preserve">Assign each task to earliest fitting slot before deadline</t>
  </si>
  <si>
    <t xml:space="preserve">Core scheduling logic</t>
  </si>
  <si>
    <t xml:space="preserve">SCHED-008</t>
  </si>
  <si>
    <t xml:space="preserve">Implement task splitting logic</t>
  </si>
  <si>
    <t xml:space="preserve">Split tasks that don't fit in single slot into subtasks</t>
  </si>
  <si>
    <t xml:space="preserve">Min 30-minute chunks</t>
  </si>
  <si>
    <t xml:space="preserve">SCHED-009</t>
  </si>
  <si>
    <t xml:space="preserve">Add conflict detection</t>
  </si>
  <si>
    <t xml:space="preserve">Identify tasks that can't be scheduled before deadline</t>
  </si>
  <si>
    <t xml:space="preserve">SCHED-010</t>
  </si>
  <si>
    <t xml:space="preserve">Implement conflict resolution strategies</t>
  </si>
  <si>
    <t xml:space="preserve">Offer options: extend deadline, reduce duration, manual placement</t>
  </si>
  <si>
    <t xml:space="preserve">SCHED-011</t>
  </si>
  <si>
    <t xml:space="preserve">Add duration estimation</t>
  </si>
  <si>
    <t xml:space="preserve">Estimate task duration based on description if not provided</t>
  </si>
  <si>
    <t xml:space="preserve">Use simple heuristics or LLM</t>
  </si>
  <si>
    <t xml:space="preserve">SCHED-012</t>
  </si>
  <si>
    <t xml:space="preserve">Implement buffer time between tasks</t>
  </si>
  <si>
    <t xml:space="preserve">Add 5-15 min buffer between scheduled tasks</t>
  </si>
  <si>
    <t xml:space="preserve">Prevent back-to-back scheduling</t>
  </si>
  <si>
    <t xml:space="preserve">SCHED-013</t>
  </si>
  <si>
    <t xml:space="preserve">Add schedule optimization</t>
  </si>
  <si>
    <t xml:space="preserve">Optimize for minimal fragmentation of calendar</t>
  </si>
  <si>
    <t xml:space="preserve">Future enhancement</t>
  </si>
  <si>
    <t xml:space="preserve">CALENDAR MANAGEMENT</t>
  </si>
  <si>
    <t xml:space="preserve">Calendar</t>
  </si>
  <si>
    <t xml:space="preserve">SCHED-014</t>
  </si>
  <si>
    <t xml:space="preserve">Implement event creation logic</t>
  </si>
  <si>
    <t xml:space="preserve">Create calendar event with task details</t>
  </si>
  <si>
    <t xml:space="preserve">Include task description in event</t>
  </si>
  <si>
    <t xml:space="preserve">SCHED-015</t>
  </si>
  <si>
    <t xml:space="preserve">Add attendee assignment</t>
  </si>
  <si>
    <t xml:space="preserve">Add task owner as attendee to calendar event</t>
  </si>
  <si>
    <t xml:space="preserve">SCHED-016</t>
  </si>
  <si>
    <t xml:space="preserve">Implement event update/reschedule</t>
  </si>
  <si>
    <t xml:space="preserve">Allow rescheduling of previously scheduled tasks</t>
  </si>
  <si>
    <t xml:space="preserve">Update or delete+recreate event</t>
  </si>
  <si>
    <t xml:space="preserve">SCHED-017</t>
  </si>
  <si>
    <t xml:space="preserve">Add event deletion on task delete</t>
  </si>
  <si>
    <t xml:space="preserve">Remove calendar event when task is deleted</t>
  </si>
  <si>
    <t xml:space="preserve">SCHED-014, BE-027</t>
  </si>
  <si>
    <t xml:space="preserve">SCHED-018</t>
  </si>
  <si>
    <t xml:space="preserve">Implement recurring task handling</t>
  </si>
  <si>
    <t xml:space="preserve">Handle tasks that repeat weekly/daily</t>
  </si>
  <si>
    <t xml:space="preserve">SCHED-019</t>
  </si>
  <si>
    <t xml:space="preserve">Add custom calendar selection</t>
  </si>
  <si>
    <t xml:space="preserve">Let users choose which calendar to use</t>
  </si>
  <si>
    <t xml:space="preserve">Default to primary</t>
  </si>
  <si>
    <t xml:space="preserve">EDGE CASES</t>
  </si>
  <si>
    <t xml:space="preserve">Edge Cases</t>
  </si>
  <si>
    <t xml:space="preserve">SCHED-020</t>
  </si>
  <si>
    <t xml:space="preserve">Handle all-day deadlines</t>
  </si>
  <si>
    <t xml:space="preserve">Tasks due 'by end of day' vs specific time</t>
  </si>
  <si>
    <t xml:space="preserve">Default to 5pm local time</t>
  </si>
  <si>
    <t xml:space="preserve">SCHED-021</t>
  </si>
  <si>
    <t xml:space="preserve">Handle past deadlines</t>
  </si>
  <si>
    <t xml:space="preserve">Warn or reject tasks with past due dates</t>
  </si>
  <si>
    <t xml:space="preserve">SCHED-022</t>
  </si>
  <si>
    <t xml:space="preserve">Handle weekend scheduling</t>
  </si>
  <si>
    <t xml:space="preserve">Option to include/exclude weekends from scheduling</t>
  </si>
  <si>
    <t xml:space="preserve">User preference</t>
  </si>
  <si>
    <t xml:space="preserve">SCHED-023</t>
  </si>
  <si>
    <t xml:space="preserve">Handle holiday detection</t>
  </si>
  <si>
    <t xml:space="preserve">Respect major holidays in user's region</t>
  </si>
  <si>
    <t xml:space="preserve">Use holiday API</t>
  </si>
  <si>
    <t xml:space="preserve">SCHED-024</t>
  </si>
  <si>
    <t xml:space="preserve">Handle DST transitions</t>
  </si>
  <si>
    <t xml:space="preserve">Correctly handle daylight saving time changes</t>
  </si>
  <si>
    <t xml:space="preserve">Critical for accuracy</t>
  </si>
  <si>
    <t xml:space="preserve">SCHED-025</t>
  </si>
  <si>
    <t xml:space="preserve">Handle multi-timezone teams</t>
  </si>
  <si>
    <t xml:space="preserve">Schedule for task owner's timezone, not creator's</t>
  </si>
  <si>
    <t xml:space="preserve">GOOGLE CALENDAR</t>
  </si>
  <si>
    <t xml:space="preserve">Google</t>
  </si>
  <si>
    <t xml:space="preserve">INT-001</t>
  </si>
  <si>
    <t xml:space="preserve">Set up Google Cloud project</t>
  </si>
  <si>
    <t xml:space="preserve">Create project and enable Calendar API</t>
  </si>
  <si>
    <t xml:space="preserve">Configure OAuth consent screen</t>
  </si>
  <si>
    <t xml:space="preserve">INT-002</t>
  </si>
  <si>
    <t xml:space="preserve">Configure OAuth 2.0 credentials</t>
  </si>
  <si>
    <t xml:space="preserve">Create OAuth client ID and secret for web application</t>
  </si>
  <si>
    <t xml:space="preserve">Restrict to authorized domains</t>
  </si>
  <si>
    <t xml:space="preserve">Implement Google Calendar client</t>
  </si>
  <si>
    <t xml:space="preserve">Create service for interacting with Google Calendar API</t>
  </si>
  <si>
    <t xml:space="preserve">INT-002, BE-016</t>
  </si>
  <si>
    <t xml:space="preserve">Use official Google client library</t>
  </si>
  <si>
    <t xml:space="preserve">INT-004</t>
  </si>
  <si>
    <t xml:space="preserve">Implement calendar list retrieval</t>
  </si>
  <si>
    <t xml:space="preserve">Get user's available calendars</t>
  </si>
  <si>
    <t xml:space="preserve">INT-005</t>
  </si>
  <si>
    <t xml:space="preserve">Implement events.insert operation</t>
  </si>
  <si>
    <t xml:space="preserve">Create calendar events via API</t>
  </si>
  <si>
    <t xml:space="preserve">Handle API errors</t>
  </si>
  <si>
    <t xml:space="preserve">INT-006</t>
  </si>
  <si>
    <t xml:space="preserve">Implement events.list operation</t>
  </si>
  <si>
    <t xml:space="preserve">Retrieve calendar events for date range</t>
  </si>
  <si>
    <t xml:space="preserve">For free/busy calculation</t>
  </si>
  <si>
    <t xml:space="preserve">INT-007</t>
  </si>
  <si>
    <t xml:space="preserve">Implement events.update operation</t>
  </si>
  <si>
    <t xml:space="preserve">Update existing calendar events</t>
  </si>
  <si>
    <t xml:space="preserve">INT-008</t>
  </si>
  <si>
    <t xml:space="preserve">Implement events.delete operation</t>
  </si>
  <si>
    <t xml:space="preserve">Delete calendar events</t>
  </si>
  <si>
    <t xml:space="preserve">INT-009</t>
  </si>
  <si>
    <t xml:space="preserve">Add Calendar API rate limiting</t>
  </si>
  <si>
    <t xml:space="preserve">Handle quota limits (1M requests/day)</t>
  </si>
  <si>
    <t xml:space="preserve">Implement exponential backoff</t>
  </si>
  <si>
    <t xml:space="preserve">SLACK</t>
  </si>
  <si>
    <t xml:space="preserve">Slack</t>
  </si>
  <si>
    <t xml:space="preserve">INT-010</t>
  </si>
  <si>
    <t xml:space="preserve">Create Slack app</t>
  </si>
  <si>
    <t xml:space="preserve">Register app at api.slack.com with required scopes</t>
  </si>
  <si>
    <t xml:space="preserve">Scopes: chat:write, incoming-webhook</t>
  </si>
  <si>
    <t xml:space="preserve">INT-011</t>
  </si>
  <si>
    <t xml:space="preserve">Configure Slack OAuth</t>
  </si>
  <si>
    <t xml:space="preserve">Set up OAuth flow for workspace installation</t>
  </si>
  <si>
    <t xml:space="preserve">INT-012</t>
  </si>
  <si>
    <t xml:space="preserve">Implement Slack client service</t>
  </si>
  <si>
    <t xml:space="preserve">Create service for Slack API interactions</t>
  </si>
  <si>
    <t xml:space="preserve">Use Slack SDK</t>
  </si>
  <si>
    <t xml:space="preserve">INT-013</t>
  </si>
  <si>
    <t xml:space="preserve">Implement webhook URL storage</t>
  </si>
  <si>
    <t xml:space="preserve">Save incoming webhook URL from OAuth response</t>
  </si>
  <si>
    <t xml:space="preserve">INT-011, BE-005</t>
  </si>
  <si>
    <t xml:space="preserve">INT-014</t>
  </si>
  <si>
    <t xml:space="preserve">Create task summary message template</t>
  </si>
  <si>
    <t xml:space="preserve">Design Block Kit message showing task list</t>
  </si>
  <si>
    <t xml:space="preserve">Include action buttons</t>
  </si>
  <si>
    <t xml:space="preserve">INT-015</t>
  </si>
  <si>
    <t xml:space="preserve">Implement message posting</t>
  </si>
  <si>
    <t xml:space="preserve">POST to webhook URL with formatted message</t>
  </si>
  <si>
    <t xml:space="preserve">INT-016</t>
  </si>
  <si>
    <t xml:space="preserve">Add interactive button handlers</t>
  </si>
  <si>
    <t xml:space="preserve">Set up endpoint to receive Slack button actions</t>
  </si>
  <si>
    <t xml:space="preserve">E.g., 'Mark Done' button</t>
  </si>
  <si>
    <t xml:space="preserve">INT-017</t>
  </si>
  <si>
    <t xml:space="preserve">Implement Slack error handling</t>
  </si>
  <si>
    <t xml:space="preserve">Handle permission errors, webhook failures</t>
  </si>
  <si>
    <t xml:space="preserve">Graceful degradation</t>
  </si>
  <si>
    <t xml:space="preserve">NOTION (OPTIONAL)</t>
  </si>
  <si>
    <t xml:space="preserve">Notion</t>
  </si>
  <si>
    <t xml:space="preserve">INT-018</t>
  </si>
  <si>
    <t xml:space="preserve">Create Notion integration</t>
  </si>
  <si>
    <t xml:space="preserve">Register internal integration at notion.so</t>
  </si>
  <si>
    <t xml:space="preserve">If Notion feature enabled</t>
  </si>
  <si>
    <t xml:space="preserve">INT-019</t>
  </si>
  <si>
    <t xml:space="preserve">Implement Notion client service</t>
  </si>
  <si>
    <t xml:space="preserve">Create service for Notion API interactions</t>
  </si>
  <si>
    <t xml:space="preserve">INT-020</t>
  </si>
  <si>
    <t xml:space="preserve">Design task database schema in Notion</t>
  </si>
  <si>
    <t xml:space="preserve">Create database with properties for tasks</t>
  </si>
  <si>
    <t xml:space="preserve">INT-021</t>
  </si>
  <si>
    <t xml:space="preserve">Implement page creation</t>
  </si>
  <si>
    <t xml:space="preserve">POST to /v1/pages to create task entries</t>
  </si>
  <si>
    <t xml:space="preserve">INT-019, INT-020</t>
  </si>
  <si>
    <t xml:space="preserve">INT-022</t>
  </si>
  <si>
    <t xml:space="preserve">Add task status sync</t>
  </si>
  <si>
    <t xml:space="preserve">Update Notion pages when task status changes</t>
  </si>
  <si>
    <t xml:space="preserve">LINEAR (OPTIONAL)</t>
  </si>
  <si>
    <t xml:space="preserve">Linear</t>
  </si>
  <si>
    <t xml:space="preserve">INT-023</t>
  </si>
  <si>
    <t xml:space="preserve">Set up Linear API access</t>
  </si>
  <si>
    <t xml:space="preserve">Generate Personal API Key</t>
  </si>
  <si>
    <t xml:space="preserve">If Linear feature enabled</t>
  </si>
  <si>
    <t xml:space="preserve">INT-024</t>
  </si>
  <si>
    <t xml:space="preserve">Implement Linear GraphQL client</t>
  </si>
  <si>
    <t xml:space="preserve">Create service for Linear API interactions</t>
  </si>
  <si>
    <t xml:space="preserve">INT-025</t>
  </si>
  <si>
    <t xml:space="preserve">Implement issue creation mutation</t>
  </si>
  <si>
    <t xml:space="preserve">Create Linear issues from tasks</t>
  </si>
  <si>
    <t xml:space="preserve">Map task fields to issue fields</t>
  </si>
  <si>
    <t xml:space="preserve">INT-026</t>
  </si>
  <si>
    <t xml:space="preserve">Add team and project mapping</t>
  </si>
  <si>
    <t xml:space="preserve">Let users configure Linear team/project per workspace</t>
  </si>
  <si>
    <t xml:space="preserve">ASANA (OPTIONAL)</t>
  </si>
  <si>
    <t xml:space="preserve">Asana</t>
  </si>
  <si>
    <t xml:space="preserve">INT-027</t>
  </si>
  <si>
    <t xml:space="preserve">Set up Asana OAuth</t>
  </si>
  <si>
    <t xml:space="preserve">Configure OAuth app for Asana integration</t>
  </si>
  <si>
    <t xml:space="preserve">If Asana feature enabled</t>
  </si>
  <si>
    <t xml:space="preserve">INT-028</t>
  </si>
  <si>
    <t xml:space="preserve">Implement Asana client service</t>
  </si>
  <si>
    <t xml:space="preserve">Create service for Asana REST API</t>
  </si>
  <si>
    <t xml:space="preserve">INT-029</t>
  </si>
  <si>
    <t xml:space="preserve">Implement task creation</t>
  </si>
  <si>
    <t xml:space="preserve">POST to /tasks endpoint</t>
  </si>
  <si>
    <t xml:space="preserve">INT-030</t>
  </si>
  <si>
    <t xml:space="preserve">Add workspace and project selection</t>
  </si>
  <si>
    <t xml:space="preserve">Let users choose Asana workspace and project</t>
  </si>
  <si>
    <t xml:space="preserve">FRONTEND SETUP</t>
  </si>
  <si>
    <t xml:space="preserve">Frontend Setup</t>
  </si>
  <si>
    <t xml:space="preserve">FE-001</t>
  </si>
  <si>
    <t xml:space="preserve">Initialize React project</t>
  </si>
  <si>
    <t xml:space="preserve">Create React app with TypeScript using Vite or Next.js</t>
  </si>
  <si>
    <t xml:space="preserve">Decision: Vite vs Next.js</t>
  </si>
  <si>
    <t xml:space="preserve">FE-002</t>
  </si>
  <si>
    <t xml:space="preserve">Install UI framework</t>
  </si>
  <si>
    <t xml:space="preserve">Set up Material-UI or Ant Design</t>
  </si>
  <si>
    <t xml:space="preserve">FE-003</t>
  </si>
  <si>
    <t xml:space="preserve">Configure routing</t>
  </si>
  <si>
    <t xml:space="preserve">Set up React Router for SPA navigation</t>
  </si>
  <si>
    <t xml:space="preserve">Routes: /login, /dashboard, /transcripts, /tasks</t>
  </si>
  <si>
    <t xml:space="preserve">FE-004</t>
  </si>
  <si>
    <t xml:space="preserve">Set up state management</t>
  </si>
  <si>
    <t xml:space="preserve">Configure Redux Toolkit or Zustand</t>
  </si>
  <si>
    <t xml:space="preserve">For global state</t>
  </si>
  <si>
    <t xml:space="preserve">FE-005</t>
  </si>
  <si>
    <t xml:space="preserve">Configure API client</t>
  </si>
  <si>
    <t xml:space="preserve">Set up Axios or Fetch wrapper with interceptors</t>
  </si>
  <si>
    <t xml:space="preserve">Include auth token injection</t>
  </si>
  <si>
    <t xml:space="preserve">FE-006</t>
  </si>
  <si>
    <t xml:space="preserve">Implement authentication context</t>
  </si>
  <si>
    <t xml:space="preserve">Create AuthContext for managing auth state</t>
  </si>
  <si>
    <t xml:space="preserve">FE-007</t>
  </si>
  <si>
    <t xml:space="preserve">Set up protected route component</t>
  </si>
  <si>
    <t xml:space="preserve">Component to redirect unauthenticated users</t>
  </si>
  <si>
    <t xml:space="preserve">FE-008</t>
  </si>
  <si>
    <t xml:space="preserve">Configure environment variables</t>
  </si>
  <si>
    <t xml:space="preserve">Set up .env for API URLs and feature flags</t>
  </si>
  <si>
    <t xml:space="preserve">FE-009</t>
  </si>
  <si>
    <t xml:space="preserve">Set up CSS-in-JS or Tailwind</t>
  </si>
  <si>
    <t xml:space="preserve">Choose styling approach and configure</t>
  </si>
  <si>
    <t xml:space="preserve">Consider Material-UI's styling</t>
  </si>
  <si>
    <t xml:space="preserve">FE-010</t>
  </si>
  <si>
    <t xml:space="preserve">Create layout components</t>
  </si>
  <si>
    <t xml:space="preserve">Header, Footer, Sidebar, Main container</t>
  </si>
  <si>
    <t xml:space="preserve">AUTHENTICATION PAGES</t>
  </si>
  <si>
    <t xml:space="preserve">Auth Pages</t>
  </si>
  <si>
    <t xml:space="preserve">FE-011</t>
  </si>
  <si>
    <t xml:space="preserve">Create Login page</t>
  </si>
  <si>
    <t xml:space="preserve">Form with email/password, OAuth button, error handling</t>
  </si>
  <si>
    <t xml:space="preserve">FE-003, FE-006</t>
  </si>
  <si>
    <t xml:space="preserve">FE-012</t>
  </si>
  <si>
    <t xml:space="preserve">Create Registration page</t>
  </si>
  <si>
    <t xml:space="preserve">Form with email, password, name, timezone selection</t>
  </si>
  <si>
    <t xml:space="preserve">FE-013</t>
  </si>
  <si>
    <t xml:space="preserve">Implement OAuth login flow</t>
  </si>
  <si>
    <t xml:space="preserve">Google OAuth button with redirect handling</t>
  </si>
  <si>
    <t xml:space="preserve">FE-011, BE-016</t>
  </si>
  <si>
    <t xml:space="preserve">FE-014</t>
  </si>
  <si>
    <t xml:space="preserve">Create Forgot Password page</t>
  </si>
  <si>
    <t xml:space="preserve">Email input to request password reset</t>
  </si>
  <si>
    <t xml:space="preserve">FE-015</t>
  </si>
  <si>
    <t xml:space="preserve">Create Reset Password page</t>
  </si>
  <si>
    <t xml:space="preserve">New password form with token validation</t>
  </si>
  <si>
    <t xml:space="preserve">FE-016</t>
  </si>
  <si>
    <t xml:space="preserve">Add form validation</t>
  </si>
  <si>
    <t xml:space="preserve">Client-side validation for all auth forms</t>
  </si>
  <si>
    <t xml:space="preserve">Use React Hook Form or Formik</t>
  </si>
  <si>
    <t xml:space="preserve">DASHBOARD</t>
  </si>
  <si>
    <t xml:space="preserve">Dashboard</t>
  </si>
  <si>
    <t xml:space="preserve">FE-017</t>
  </si>
  <si>
    <t xml:space="preserve">Create Dashboard page layout</t>
  </si>
  <si>
    <t xml:space="preserve">Overview with stats, recent transcripts, upcoming tasks</t>
  </si>
  <si>
    <t xml:space="preserve">FE-018</t>
  </si>
  <si>
    <t xml:space="preserve">Add quick stats widgets</t>
  </si>
  <si>
    <t xml:space="preserve">Show: total transcripts, total tasks, tasks this week</t>
  </si>
  <si>
    <t xml:space="preserve">FE-019</t>
  </si>
  <si>
    <t xml:space="preserve">Create recent transcripts list</t>
  </si>
  <si>
    <t xml:space="preserve">Scrollable list with transcript titles and dates</t>
  </si>
  <si>
    <t xml:space="preserve">Link to transcript detail</t>
  </si>
  <si>
    <t xml:space="preserve">FE-020</t>
  </si>
  <si>
    <t xml:space="preserve">Add upcoming tasks widget</t>
  </si>
  <si>
    <t xml:space="preserve">List of tasks due soon with confidence badges</t>
  </si>
  <si>
    <t xml:space="preserve">FE-021</t>
  </si>
  <si>
    <t xml:space="preserve">Implement upload transcript button</t>
  </si>
  <si>
    <t xml:space="preserve">Prominent CTA to upload new transcript</t>
  </si>
  <si>
    <t xml:space="preserve">TRANSCRIPT MANAGEMENT</t>
  </si>
  <si>
    <t xml:space="preserve">Transcripts</t>
  </si>
  <si>
    <t xml:space="preserve">FE-022</t>
  </si>
  <si>
    <t xml:space="preserve">Create Transcripts list page</t>
  </si>
  <si>
    <t xml:space="preserve">Table/cards showing all user's transcripts</t>
  </si>
  <si>
    <t xml:space="preserve">With pagination</t>
  </si>
  <si>
    <t xml:space="preserve">FE-023</t>
  </si>
  <si>
    <t xml:space="preserve">Implement transcript upload modal</t>
  </si>
  <si>
    <t xml:space="preserve">File upload or text paste with title input</t>
  </si>
  <si>
    <t xml:space="preserve">FE-022, BE-018</t>
  </si>
  <si>
    <t xml:space="preserve">Support .txt, .docx files</t>
  </si>
  <si>
    <t xml:space="preserve">FE-024</t>
  </si>
  <si>
    <t xml:space="preserve">Add upload progress indicator</t>
  </si>
  <si>
    <t xml:space="preserve">Show progress during file upload and extraction</t>
  </si>
  <si>
    <t xml:space="preserve">WebSocket or polling for job status</t>
  </si>
  <si>
    <t xml:space="preserve">FE-025</t>
  </si>
  <si>
    <t xml:space="preserve">Create Transcript detail page</t>
  </si>
  <si>
    <t xml:space="preserve">Show transcript text and extracted tasks</t>
  </si>
  <si>
    <t xml:space="preserve">FE-026</t>
  </si>
  <si>
    <t xml:space="preserve">Add transcript search/filter</t>
  </si>
  <si>
    <t xml:space="preserve">Search by title, filter by date range</t>
  </si>
  <si>
    <t xml:space="preserve">FE-027</t>
  </si>
  <si>
    <t xml:space="preserve">Implement transcript delete</t>
  </si>
  <si>
    <t xml:space="preserve">Delete button with confirmation dialog</t>
  </si>
  <si>
    <t xml:space="preserve">FE-022, BE-021</t>
  </si>
  <si>
    <t xml:space="preserve">TASK REVIEW INTERFACE</t>
  </si>
  <si>
    <t xml:space="preserve">Task Review</t>
  </si>
  <si>
    <t xml:space="preserve">FE-028</t>
  </si>
  <si>
    <t xml:space="preserve">Create Task card component</t>
  </si>
  <si>
    <t xml:space="preserve">Card showing title, owner, due date, confidence badge</t>
  </si>
  <si>
    <t xml:space="preserve">Reusable component</t>
  </si>
  <si>
    <t xml:space="preserve">FE-029</t>
  </si>
  <si>
    <t xml:space="preserve">Implement confidence badge</t>
  </si>
  <si>
    <t xml:space="preserve">Color-coded badge: green ≥85%, yellow 60-84%, red &lt;60%</t>
  </si>
  <si>
    <t xml:space="preserve">Match PRD specifications</t>
  </si>
  <si>
    <t xml:space="preserve">FE-030</t>
  </si>
  <si>
    <t xml:space="preserve">Add confidence tooltip</t>
  </si>
  <si>
    <t xml:space="preserve">Hover to see numeric score and explanation</t>
  </si>
  <si>
    <t xml:space="preserve">FE-031</t>
  </si>
  <si>
    <t xml:space="preserve">Create inline task editor</t>
  </si>
  <si>
    <t xml:space="preserve">Edit title, description, owner, due date inline</t>
  </si>
  <si>
    <t xml:space="preserve">Save on blur or button click</t>
  </si>
  <si>
    <t xml:space="preserve">FE-032</t>
  </si>
  <si>
    <t xml:space="preserve">Implement owner dropdown</t>
  </si>
  <si>
    <t xml:space="preserve">Dropdown with participants from transcript</t>
  </si>
  <si>
    <t xml:space="preserve">FE-031, LLM-020</t>
  </si>
  <si>
    <t xml:space="preserve">Allow custom entry</t>
  </si>
  <si>
    <t xml:space="preserve">FE-033</t>
  </si>
  <si>
    <t xml:space="preserve">Add due date picker</t>
  </si>
  <si>
    <t xml:space="preserve">Calendar picker for selecting/editing due date</t>
  </si>
  <si>
    <t xml:space="preserve">Disable past dates</t>
  </si>
  <si>
    <t xml:space="preserve">FE-034</t>
  </si>
  <si>
    <t xml:space="preserve">Create bulk action toolbar</t>
  </si>
  <si>
    <t xml:space="preserve">Checkboxes + toolbar for Accept All, Delete All</t>
  </si>
  <si>
    <t xml:space="preserve">FE-035</t>
  </si>
  <si>
    <t xml:space="preserve">Add task filtering by confidence</t>
  </si>
  <si>
    <t xml:space="preserve">Tabs or filter to show High/Medium/Low confidence tasks</t>
  </si>
  <si>
    <t xml:space="preserve">FE-036</t>
  </si>
  <si>
    <t xml:space="preserve">Implement task deletion</t>
  </si>
  <si>
    <t xml:space="preserve">Delete button with confirmation</t>
  </si>
  <si>
    <t xml:space="preserve">FE-028, BE-027</t>
  </si>
  <si>
    <t xml:space="preserve">SCHEDULING INTERFACE</t>
  </si>
  <si>
    <t xml:space="preserve">Scheduling</t>
  </si>
  <si>
    <t xml:space="preserve">FE-037</t>
  </si>
  <si>
    <t xml:space="preserve">Create Scheduling page</t>
  </si>
  <si>
    <t xml:space="preserve">Interface for reviewing and scheduling tasks</t>
  </si>
  <si>
    <t xml:space="preserve">FE-038</t>
  </si>
  <si>
    <t xml:space="preserve">Add duration input for tasks</t>
  </si>
  <si>
    <t xml:space="preserve">Allow users to set estimated duration</t>
  </si>
  <si>
    <t xml:space="preserve">Default suggestions based on task</t>
  </si>
  <si>
    <t xml:space="preserve">FE-039</t>
  </si>
  <si>
    <t xml:space="preserve">Implement calendar view component</t>
  </si>
  <si>
    <t xml:space="preserve">Weekly calendar grid showing free/busy slots</t>
  </si>
  <si>
    <t xml:space="preserve">Consider using FullCalendar library</t>
  </si>
  <si>
    <t xml:space="preserve">FE-040</t>
  </si>
  <si>
    <t xml:space="preserve">Add drag-and-drop scheduling</t>
  </si>
  <si>
    <t xml:space="preserve">Drag tasks onto calendar slots</t>
  </si>
  <si>
    <t xml:space="preserve">Visual feedback on valid slots</t>
  </si>
  <si>
    <t xml:space="preserve">FE-041</t>
  </si>
  <si>
    <t xml:space="preserve">Implement auto-schedule button</t>
  </si>
  <si>
    <t xml:space="preserve">Trigger backend scheduling algorithm</t>
  </si>
  <si>
    <t xml:space="preserve">FE-037, BE-028</t>
  </si>
  <si>
    <t xml:space="preserve">Show loading state</t>
  </si>
  <si>
    <t xml:space="preserve">FE-042</t>
  </si>
  <si>
    <t xml:space="preserve">Display scheduling conflicts</t>
  </si>
  <si>
    <t xml:space="preserve">Highlight tasks that couldn't be scheduled</t>
  </si>
  <si>
    <t xml:space="preserve">Show conflict reasons</t>
  </si>
  <si>
    <t xml:space="preserve">FE-043</t>
  </si>
  <si>
    <t xml:space="preserve">Add schedule preview</t>
  </si>
  <si>
    <t xml:space="preserve">Show planned schedule before confirming</t>
  </si>
  <si>
    <t xml:space="preserve">FE-044</t>
  </si>
  <si>
    <t xml:space="preserve">Implement schedule confirmation</t>
  </si>
  <si>
    <t xml:space="preserve">Confirm button to create calendar events</t>
  </si>
  <si>
    <t xml:space="preserve">FE-043, WKR-019</t>
  </si>
  <si>
    <t xml:space="preserve">FE-045</t>
  </si>
  <si>
    <t xml:space="preserve">Add reschedule functionality</t>
  </si>
  <si>
    <t xml:space="preserve">Allow rescheduling already-scheduled tasks</t>
  </si>
  <si>
    <t xml:space="preserve">SETTINGS &amp; INTEGRATIONS</t>
  </si>
  <si>
    <t xml:space="preserve">Settings</t>
  </si>
  <si>
    <t xml:space="preserve">FE-046</t>
  </si>
  <si>
    <t xml:space="preserve">Create Settings page</t>
  </si>
  <si>
    <t xml:space="preserve">User preferences and integrations management</t>
  </si>
  <si>
    <t xml:space="preserve">FE-047</t>
  </si>
  <si>
    <t xml:space="preserve">Add profile settings section</t>
  </si>
  <si>
    <t xml:space="preserve">Edit name, email, timezone</t>
  </si>
  <si>
    <t xml:space="preserve">FE-048</t>
  </si>
  <si>
    <t xml:space="preserve">Create integrations section</t>
  </si>
  <si>
    <t xml:space="preserve">Show connected services with connect/disconnect buttons</t>
  </si>
  <si>
    <t xml:space="preserve">FE-049</t>
  </si>
  <si>
    <t xml:space="preserve">Implement Google Calendar connect</t>
  </si>
  <si>
    <t xml:space="preserve">OAuth flow initiation and status display</t>
  </si>
  <si>
    <t xml:space="preserve">FE-048, INT-002</t>
  </si>
  <si>
    <t xml:space="preserve">FE-050</t>
  </si>
  <si>
    <t xml:space="preserve">Implement Slack connect</t>
  </si>
  <si>
    <t xml:space="preserve">OAuth flow for Slack workspace</t>
  </si>
  <si>
    <t xml:space="preserve">FE-048, INT-011</t>
  </si>
  <si>
    <t xml:space="preserve">FE-051</t>
  </si>
  <si>
    <t xml:space="preserve">Add working hours configuration</t>
  </si>
  <si>
    <t xml:space="preserve">Time picker for daily work start/end times</t>
  </si>
  <si>
    <t xml:space="preserve">Per-day customization</t>
  </si>
  <si>
    <t xml:space="preserve">FE-052</t>
  </si>
  <si>
    <t xml:space="preserve">Implement notification preferences</t>
  </si>
  <si>
    <t xml:space="preserve">Toggle email/Slack notifications</t>
  </si>
  <si>
    <t xml:space="preserve">NOTIFICATIONS &amp; FEEDBACK</t>
  </si>
  <si>
    <t xml:space="preserve">UX</t>
  </si>
  <si>
    <t xml:space="preserve">FE-053</t>
  </si>
  <si>
    <t xml:space="preserve">Implement toast notifications</t>
  </si>
  <si>
    <t xml:space="preserve">Success/error messages for user actions</t>
  </si>
  <si>
    <t xml:space="preserve">Use Snackbar or similar</t>
  </si>
  <si>
    <t xml:space="preserve">FE-054</t>
  </si>
  <si>
    <t xml:space="preserve">Add loading states</t>
  </si>
  <si>
    <t xml:space="preserve">Spinners/skeletons for all async operations</t>
  </si>
  <si>
    <t xml:space="preserve">Consistent UX</t>
  </si>
  <si>
    <t xml:space="preserve">FE-055</t>
  </si>
  <si>
    <t xml:space="preserve">Create error boundary component</t>
  </si>
  <si>
    <t xml:space="preserve">Catch and display React errors gracefully</t>
  </si>
  <si>
    <t xml:space="preserve">FE-056</t>
  </si>
  <si>
    <t xml:space="preserve">Implement empty states</t>
  </si>
  <si>
    <t xml:space="preserve">Helpful messages when no data exists</t>
  </si>
  <si>
    <t xml:space="preserve">Guide users to upload</t>
  </si>
  <si>
    <t xml:space="preserve">FE-057</t>
  </si>
  <si>
    <t xml:space="preserve">Add confirmation dialogs</t>
  </si>
  <si>
    <t xml:space="preserve">For destructive actions (delete, disconnect)</t>
  </si>
  <si>
    <t xml:space="preserve">RESPONSIVE DESIGN</t>
  </si>
  <si>
    <t xml:space="preserve">Responsive</t>
  </si>
  <si>
    <t xml:space="preserve">FE-058</t>
  </si>
  <si>
    <t xml:space="preserve">Implement mobile navigation</t>
  </si>
  <si>
    <t xml:space="preserve">Hamburger menu for mobile screens</t>
  </si>
  <si>
    <t xml:space="preserve">FE-059</t>
  </si>
  <si>
    <t xml:space="preserve">Make all pages mobile-responsive</t>
  </si>
  <si>
    <t xml:space="preserve">Test and adjust layouts for mobile/tablet</t>
  </si>
  <si>
    <t xml:space="preserve">Breakpoints: 640px, 1024px</t>
  </si>
  <si>
    <t xml:space="preserve">FE-060</t>
  </si>
  <si>
    <t xml:space="preserve">Optimize touch interactions</t>
  </si>
  <si>
    <t xml:space="preserve">Larger tap targets, swipe gestures</t>
  </si>
  <si>
    <t xml:space="preserve">TESTING INFRASTRUCTURE</t>
  </si>
  <si>
    <t xml:space="preserve">Test Setup</t>
  </si>
  <si>
    <t xml:space="preserve">TEST-001</t>
  </si>
  <si>
    <t xml:space="preserve">Set up backend testing framework</t>
  </si>
  <si>
    <t xml:space="preserve">Configure Jest (Node) or Pytest (Python)</t>
  </si>
  <si>
    <t xml:space="preserve">TEST-002</t>
  </si>
  <si>
    <t xml:space="preserve">Set up frontend testing framework</t>
  </si>
  <si>
    <t xml:space="preserve">Configure Jest + React Testing Library</t>
  </si>
  <si>
    <t xml:space="preserve">TEST-003</t>
  </si>
  <si>
    <t xml:space="preserve">Configure test database</t>
  </si>
  <si>
    <t xml:space="preserve">Separate test DB for running tests</t>
  </si>
  <si>
    <t xml:space="preserve">TEST-004</t>
  </si>
  <si>
    <t xml:space="preserve">Set up test coverage reporting</t>
  </si>
  <si>
    <t xml:space="preserve">Configure coverage tools (pytest-cov, Jest coverage)</t>
  </si>
  <si>
    <t xml:space="preserve">TEST-001, TEST-002</t>
  </si>
  <si>
    <t xml:space="preserve">Target 80% coverage</t>
  </si>
  <si>
    <t xml:space="preserve">TEST-005</t>
  </si>
  <si>
    <t xml:space="preserve">Create test data factories</t>
  </si>
  <si>
    <t xml:space="preserve">Factory functions/fixtures for creating test data</t>
  </si>
  <si>
    <t xml:space="preserve">TEST-001, BE-003</t>
  </si>
  <si>
    <t xml:space="preserve">Use Factory Boy or similar</t>
  </si>
  <si>
    <t xml:space="preserve">TEST-006</t>
  </si>
  <si>
    <t xml:space="preserve">Set up API mocking</t>
  </si>
  <si>
    <t xml:space="preserve">Mock external APIs (OpenAI, Google, Slack) in tests</t>
  </si>
  <si>
    <t xml:space="preserve">Use nock or responses library</t>
  </si>
  <si>
    <t xml:space="preserve">UNIT TESTS - BACKEND</t>
  </si>
  <si>
    <t xml:space="preserve">Backend Tests</t>
  </si>
  <si>
    <t xml:space="preserve">TEST-007</t>
  </si>
  <si>
    <t xml:space="preserve">Test authentication functions</t>
  </si>
  <si>
    <t xml:space="preserve">Unit tests for login, registration, token generation</t>
  </si>
  <si>
    <t xml:space="preserve">BE-010, BE-011, TEST-001</t>
  </si>
  <si>
    <t xml:space="preserve">TEST-008</t>
  </si>
  <si>
    <t xml:space="preserve">Test transcript API endpoints</t>
  </si>
  <si>
    <t xml:space="preserve">Test all CRUD operations for transcripts</t>
  </si>
  <si>
    <t xml:space="preserve">BE-018 to BE-023, TEST-001</t>
  </si>
  <si>
    <t xml:space="preserve">TEST-009</t>
  </si>
  <si>
    <t xml:space="preserve">Test task API endpoints</t>
  </si>
  <si>
    <t xml:space="preserve">Test all CRUD operations for tasks</t>
  </si>
  <si>
    <t xml:space="preserve">BE-024 to BE-030, TEST-001</t>
  </si>
  <si>
    <t xml:space="preserve">TEST-010</t>
  </si>
  <si>
    <t xml:space="preserve">Test LLM extraction logic</t>
  </si>
  <si>
    <t xml:space="preserve">Test task extraction with mocked LLM responses</t>
  </si>
  <si>
    <t xml:space="preserve">LLM-012, TEST-006</t>
  </si>
  <si>
    <t xml:space="preserve">TEST-011</t>
  </si>
  <si>
    <t xml:space="preserve">Test chunking algorithm</t>
  </si>
  <si>
    <t xml:space="preserve">Test transcript splitting logic</t>
  </si>
  <si>
    <t xml:space="preserve">LLM-008, TEST-001</t>
  </si>
  <si>
    <t xml:space="preserve">TEST-012</t>
  </si>
  <si>
    <t xml:space="preserve">Test name parsing logic</t>
  </si>
  <si>
    <t xml:space="preserve">Test name-to-user mapping</t>
  </si>
  <si>
    <t xml:space="preserve">LLM-019, TEST-001</t>
  </si>
  <si>
    <t xml:space="preserve">TEST-013</t>
  </si>
  <si>
    <t xml:space="preserve">Test date parsing logic</t>
  </si>
  <si>
    <t xml:space="preserve">Test natural language date conversion</t>
  </si>
  <si>
    <t xml:space="preserve">LLM-023, TEST-001</t>
  </si>
  <si>
    <t xml:space="preserve">Include edge cases</t>
  </si>
  <si>
    <t xml:space="preserve">TEST-014</t>
  </si>
  <si>
    <t xml:space="preserve">Test scheduling algorithm</t>
  </si>
  <si>
    <t xml:space="preserve">Test slot assignment logic</t>
  </si>
  <si>
    <t xml:space="preserve">SCHED-007, TEST-001</t>
  </si>
  <si>
    <t xml:space="preserve">Multiple scenarios</t>
  </si>
  <si>
    <t xml:space="preserve">TEST-015</t>
  </si>
  <si>
    <t xml:space="preserve">Test calendar integration</t>
  </si>
  <si>
    <t xml:space="preserve">Test Google Calendar API calls</t>
  </si>
  <si>
    <t xml:space="preserve">INT-003, TEST-006</t>
  </si>
  <si>
    <t xml:space="preserve">TEST-016</t>
  </si>
  <si>
    <t xml:space="preserve">Test worker job handlers</t>
  </si>
  <si>
    <t xml:space="preserve">Test extraction and scheduling workers</t>
  </si>
  <si>
    <t xml:space="preserve">WKR-011, WKR-017, TEST-001</t>
  </si>
  <si>
    <t xml:space="preserve">UNIT TESTS - FRONTEND</t>
  </si>
  <si>
    <t xml:space="preserve">Frontend Tests</t>
  </si>
  <si>
    <t xml:space="preserve">TEST-017</t>
  </si>
  <si>
    <t xml:space="preserve">Test authentication components</t>
  </si>
  <si>
    <t xml:space="preserve">Test Login, Register pages</t>
  </si>
  <si>
    <t xml:space="preserve">FE-011, FE-012, TEST-002</t>
  </si>
  <si>
    <t xml:space="preserve">TEST-018</t>
  </si>
  <si>
    <t xml:space="preserve">Test Task card component</t>
  </si>
  <si>
    <t xml:space="preserve">Test rendering, editing, confidence badges</t>
  </si>
  <si>
    <t xml:space="preserve">FE-028, TEST-002</t>
  </si>
  <si>
    <t xml:space="preserve">TEST-019</t>
  </si>
  <si>
    <t xml:space="preserve">Test transcript upload flow</t>
  </si>
  <si>
    <t xml:space="preserve">Test file upload, validation, progress</t>
  </si>
  <si>
    <t xml:space="preserve">FE-023, TEST-002</t>
  </si>
  <si>
    <t xml:space="preserve">TEST-020</t>
  </si>
  <si>
    <t xml:space="preserve">Test scheduling interface</t>
  </si>
  <si>
    <t xml:space="preserve">Test calendar view, drag-drop</t>
  </si>
  <si>
    <t xml:space="preserve">FE-039, FE-040, TEST-002</t>
  </si>
  <si>
    <t xml:space="preserve">TEST-021</t>
  </si>
  <si>
    <t xml:space="preserve">Test form validation</t>
  </si>
  <si>
    <t xml:space="preserve">Test all form inputs and error states</t>
  </si>
  <si>
    <t xml:space="preserve">FE-016, TEST-002</t>
  </si>
  <si>
    <t xml:space="preserve">INTEGRATION TESTS</t>
  </si>
  <si>
    <t xml:space="preserve">Integration</t>
  </si>
  <si>
    <t xml:space="preserve">TEST-022</t>
  </si>
  <si>
    <t xml:space="preserve">Test end-to-end transcript flow</t>
  </si>
  <si>
    <t xml:space="preserve">Upload → Extract → Review → Schedule → Calendar</t>
  </si>
  <si>
    <t xml:space="preserve">QA</t>
  </si>
  <si>
    <t xml:space="preserve">BE-018, LLM-012, SCHED-007, INT-005</t>
  </si>
  <si>
    <t xml:space="preserve">Full happy path</t>
  </si>
  <si>
    <t xml:space="preserve">TEST-023</t>
  </si>
  <si>
    <t xml:space="preserve">Test OAuth flows</t>
  </si>
  <si>
    <t xml:space="preserve">Test Google and Slack OAuth complete flow</t>
  </si>
  <si>
    <t xml:space="preserve">BE-016, INT-011</t>
  </si>
  <si>
    <t xml:space="preserve">TEST-024</t>
  </si>
  <si>
    <t xml:space="preserve">Test worker processing</t>
  </si>
  <si>
    <t xml:space="preserve">Test async job queue end-to-end</t>
  </si>
  <si>
    <t xml:space="preserve">WKR-011, WKR-017</t>
  </si>
  <si>
    <t xml:space="preserve">TEST-025</t>
  </si>
  <si>
    <t xml:space="preserve">Test API error handling</t>
  </si>
  <si>
    <t xml:space="preserve">Test all error scenarios (401, 404, 500, etc.)</t>
  </si>
  <si>
    <t xml:space="preserve">TEST-026</t>
  </si>
  <si>
    <t xml:space="preserve">Test calendar sync</t>
  </si>
  <si>
    <t xml:space="preserve">Test task scheduling creates correct calendar events</t>
  </si>
  <si>
    <t xml:space="preserve">SCHED-014, INT-005</t>
  </si>
  <si>
    <t xml:space="preserve">E2E TESTS</t>
  </si>
  <si>
    <t xml:space="preserve">E2E</t>
  </si>
  <si>
    <t xml:space="preserve">TEST-027</t>
  </si>
  <si>
    <t xml:space="preserve">Set up E2E testing framework</t>
  </si>
  <si>
    <t xml:space="preserve">Configure Playwright or Cypress</t>
  </si>
  <si>
    <t xml:space="preserve">TEST-028</t>
  </si>
  <si>
    <t xml:space="preserve">Create E2E test for user registration</t>
  </si>
  <si>
    <t xml:space="preserve">Complete signup flow</t>
  </si>
  <si>
    <t xml:space="preserve">TEST-027, FE-012</t>
  </si>
  <si>
    <t xml:space="preserve">TEST-029</t>
  </si>
  <si>
    <t xml:space="preserve">Create E2E test for transcript upload</t>
  </si>
  <si>
    <t xml:space="preserve">Login → Upload → View tasks</t>
  </si>
  <si>
    <t xml:space="preserve">TEST-027, FE-023</t>
  </si>
  <si>
    <t xml:space="preserve">TEST-030</t>
  </si>
  <si>
    <t xml:space="preserve">Create E2E test for task editing</t>
  </si>
  <si>
    <t xml:space="preserve">Edit task details and save</t>
  </si>
  <si>
    <t xml:space="preserve">TEST-027, FE-031</t>
  </si>
  <si>
    <t xml:space="preserve">TEST-031</t>
  </si>
  <si>
    <t xml:space="preserve">Create E2E test for scheduling</t>
  </si>
  <si>
    <t xml:space="preserve">Schedule tasks and verify calendar events</t>
  </si>
  <si>
    <t xml:space="preserve">TEST-027, FE-041</t>
  </si>
  <si>
    <t xml:space="preserve">TEST-032</t>
  </si>
  <si>
    <t xml:space="preserve">Test mobile responsive flows</t>
  </si>
  <si>
    <t xml:space="preserve">Run E2E tests on mobile viewport</t>
  </si>
  <si>
    <t xml:space="preserve">TEST-027, FE-059</t>
  </si>
  <si>
    <t xml:space="preserve">ANALYTICS SETUP</t>
  </si>
  <si>
    <t xml:space="preserve">Analytics</t>
  </si>
  <si>
    <t xml:space="preserve">ANLYT-001</t>
  </si>
  <si>
    <t xml:space="preserve">Choose analytics platform</t>
  </si>
  <si>
    <t xml:space="preserve">Decide: PostHog, Mixpanel, or Amplitude</t>
  </si>
  <si>
    <t xml:space="preserve">Product Manager</t>
  </si>
  <si>
    <t xml:space="preserve">Consider budget and features</t>
  </si>
  <si>
    <t xml:space="preserve">ANLYT-002</t>
  </si>
  <si>
    <t xml:space="preserve">Set up analytics SDK</t>
  </si>
  <si>
    <t xml:space="preserve">Install and configure chosen analytics library</t>
  </si>
  <si>
    <t xml:space="preserve">ANLYT-001, FE-001</t>
  </si>
  <si>
    <t xml:space="preserve">ANLYT-003</t>
  </si>
  <si>
    <t xml:space="preserve">Implement event tracking helper</t>
  </si>
  <si>
    <t xml:space="preserve">Create wrapper function for consistent event tracking</t>
  </si>
  <si>
    <t xml:space="preserve">ANLYT-004</t>
  </si>
  <si>
    <t xml:space="preserve">Add user identification</t>
  </si>
  <si>
    <t xml:space="preserve">Track user ID on login/signup</t>
  </si>
  <si>
    <t xml:space="preserve">ANLYT-002, FE-011</t>
  </si>
  <si>
    <t xml:space="preserve">USER EVENTS</t>
  </si>
  <si>
    <t xml:space="preserve">Events</t>
  </si>
  <si>
    <t xml:space="preserve">ANLYT-005</t>
  </si>
  <si>
    <t xml:space="preserve">Track transcript_uploaded event</t>
  </si>
  <si>
    <t xml:space="preserve">Fire when user uploads transcript</t>
  </si>
  <si>
    <t xml:space="preserve">ANLYT-003, FE-023</t>
  </si>
  <si>
    <t xml:space="preserve">Payload: word_count, source</t>
  </si>
  <si>
    <t xml:space="preserve">ANLYT-006</t>
  </si>
  <si>
    <t xml:space="preserve">Track tasks_extracted event</t>
  </si>
  <si>
    <t xml:space="preserve">Fire when LLM extraction completes</t>
  </si>
  <si>
    <t xml:space="preserve">ANLYT-003, WKR-011</t>
  </si>
  <si>
    <t xml:space="preserve">Payload: num_tasks, extraction_time_ms</t>
  </si>
  <si>
    <t xml:space="preserve">ANLYT-007</t>
  </si>
  <si>
    <t xml:space="preserve">Track task_reviewed event</t>
  </si>
  <si>
    <t xml:space="preserve">Fire when user edits/deletes task</t>
  </si>
  <si>
    <t xml:space="preserve">ANLYT-003, FE-031</t>
  </si>
  <si>
    <t xml:space="preserve">Payload: action, confidence</t>
  </si>
  <si>
    <t xml:space="preserve">ANLYT-008</t>
  </si>
  <si>
    <t xml:space="preserve">Track tasks_scheduled event</t>
  </si>
  <si>
    <t xml:space="preserve">Fire when scheduling completes</t>
  </si>
  <si>
    <t xml:space="preserve">ANLYT-003, WKR-017</t>
  </si>
  <si>
    <t xml:space="preserve">Payload: success, num_conflicts</t>
  </si>
  <si>
    <t xml:space="preserve">ANLYT-009</t>
  </si>
  <si>
    <t xml:space="preserve">Track integration_clicked event</t>
  </si>
  <si>
    <t xml:space="preserve">Fire when user connects integration</t>
  </si>
  <si>
    <t xml:space="preserve">ANLYT-003, FE-049</t>
  </si>
  <si>
    <t xml:space="preserve">Payload: service, outcome</t>
  </si>
  <si>
    <t xml:space="preserve">ANLYT-010</t>
  </si>
  <si>
    <t xml:space="preserve">Track page views</t>
  </si>
  <si>
    <t xml:space="preserve">Automatically track all route changes</t>
  </si>
  <si>
    <t xml:space="preserve">ANLYT-002, FE-003</t>
  </si>
  <si>
    <t xml:space="preserve">ANLYT-011</t>
  </si>
  <si>
    <t xml:space="preserve">Track feature usage</t>
  </si>
  <si>
    <t xml:space="preserve">Track usage of key features (filters, search, etc.)</t>
  </si>
  <si>
    <t xml:space="preserve">SYSTEM METRICS</t>
  </si>
  <si>
    <t xml:space="preserve">Metrics</t>
  </si>
  <si>
    <t xml:space="preserve">ANLYT-012</t>
  </si>
  <si>
    <t xml:space="preserve">Set up Prometheus</t>
  </si>
  <si>
    <t xml:space="preserve">Install and configure Prometheus for metrics</t>
  </si>
  <si>
    <t xml:space="preserve">Or use cloud provider metrics</t>
  </si>
  <si>
    <t xml:space="preserve">ANLYT-013</t>
  </si>
  <si>
    <t xml:space="preserve">Add API latency metrics</t>
  </si>
  <si>
    <t xml:space="preserve">Track response times for all endpoints</t>
  </si>
  <si>
    <t xml:space="preserve">ANLYT-012, BE-008</t>
  </si>
  <si>
    <t xml:space="preserve">ANLYT-014</t>
  </si>
  <si>
    <t xml:space="preserve">Add LLM call metrics</t>
  </si>
  <si>
    <t xml:space="preserve">Track LLM latency, token usage, error rates</t>
  </si>
  <si>
    <t xml:space="preserve">ANLYT-012, LLM-005</t>
  </si>
  <si>
    <t xml:space="preserve">ANLYT-015</t>
  </si>
  <si>
    <t xml:space="preserve">Add database query metrics</t>
  </si>
  <si>
    <t xml:space="preserve">Track slow queries and connection pool</t>
  </si>
  <si>
    <t xml:space="preserve">ANLYT-012, DB-011</t>
  </si>
  <si>
    <t xml:space="preserve">ANLYT-016</t>
  </si>
  <si>
    <t xml:space="preserve">Add queue metrics</t>
  </si>
  <si>
    <t xml:space="preserve">Track queue depth, job throughput, failures</t>
  </si>
  <si>
    <t xml:space="preserve">ANLYT-012, WKR-006</t>
  </si>
  <si>
    <t xml:space="preserve">ANLYT-017</t>
  </si>
  <si>
    <t xml:space="preserve">Set up alerting</t>
  </si>
  <si>
    <t xml:space="preserve">Create alerts for critical metrics (error rate, downtime)</t>
  </si>
  <si>
    <t xml:space="preserve">PagerDuty or similar</t>
  </si>
  <si>
    <t xml:space="preserve">DASHBOARDS</t>
  </si>
  <si>
    <t xml:space="preserve">Dashboards</t>
  </si>
  <si>
    <t xml:space="preserve">ANLYT-018</t>
  </si>
  <si>
    <t xml:space="preserve">Create user analytics dashboard</t>
  </si>
  <si>
    <t xml:space="preserve">Funnel analysis, retention, feature usage</t>
  </si>
  <si>
    <t xml:space="preserve">ANLYT-019</t>
  </si>
  <si>
    <t xml:space="preserve">Create system health dashboard</t>
  </si>
  <si>
    <t xml:space="preserve">API latency, error rates, uptime</t>
  </si>
  <si>
    <t xml:space="preserve">Grafana or similar</t>
  </si>
  <si>
    <t xml:space="preserve">ANLYT-020</t>
  </si>
  <si>
    <t xml:space="preserve">Create LLM performance dashboard</t>
  </si>
  <si>
    <t xml:space="preserve">Extraction accuracy, confidence distribution</t>
  </si>
  <si>
    <t xml:space="preserve">SECURITY FUNDAMENTALS</t>
  </si>
  <si>
    <t xml:space="preserve">Security</t>
  </si>
  <si>
    <t xml:space="preserve">SEC-001</t>
  </si>
  <si>
    <t xml:space="preserve">Implement password hashing</t>
  </si>
  <si>
    <t xml:space="preserve">Use bcrypt or Argon2 for password storage</t>
  </si>
  <si>
    <t xml:space="preserve">Never store plaintext passwords</t>
  </si>
  <si>
    <t xml:space="preserve">SEC-002</t>
  </si>
  <si>
    <t xml:space="preserve">Add rate limiting</t>
  </si>
  <si>
    <t xml:space="preserve">Rate limit API endpoints (login, registration, LLM calls)</t>
  </si>
  <si>
    <t xml:space="preserve">Prevent brute force attacks</t>
  </si>
  <si>
    <t xml:space="preserve">SEC-003</t>
  </si>
  <si>
    <t xml:space="preserve">Implement CSRF protection</t>
  </si>
  <si>
    <t xml:space="preserve">Add CSRF tokens to all state-changing requests</t>
  </si>
  <si>
    <t xml:space="preserve">SEC-004</t>
  </si>
  <si>
    <t xml:space="preserve">Configure secure headers</t>
  </si>
  <si>
    <t xml:space="preserve">Set CSP, HSTS, X-Frame-Options, etc.</t>
  </si>
  <si>
    <t xml:space="preserve">Use helmet.js or similar</t>
  </si>
  <si>
    <t xml:space="preserve">SEC-005</t>
  </si>
  <si>
    <t xml:space="preserve">Add input validation and sanitization</t>
  </si>
  <si>
    <t xml:space="preserve">Validate and sanitize all user inputs</t>
  </si>
  <si>
    <t xml:space="preserve">Prevent XSS and injection</t>
  </si>
  <si>
    <t xml:space="preserve">SEC-006</t>
  </si>
  <si>
    <t xml:space="preserve">Implement SQL injection prevention</t>
  </si>
  <si>
    <t xml:space="preserve">Use parameterized queries everywhere</t>
  </si>
  <si>
    <t xml:space="preserve">ORM should handle this</t>
  </si>
  <si>
    <t xml:space="preserve">SEC-007</t>
  </si>
  <si>
    <t xml:space="preserve">Add XSS protection</t>
  </si>
  <si>
    <t xml:space="preserve">Sanitize output, use Content-Security-Policy</t>
  </si>
  <si>
    <t xml:space="preserve">SEC-008</t>
  </si>
  <si>
    <t xml:space="preserve">Implement request size limits</t>
  </si>
  <si>
    <t xml:space="preserve">Limit request body size to prevent DoS</t>
  </si>
  <si>
    <t xml:space="preserve">E.g., 10MB max</t>
  </si>
  <si>
    <t xml:space="preserve">DATA PROTECTION</t>
  </si>
  <si>
    <t xml:space="preserve">Data Protection</t>
  </si>
  <si>
    <t xml:space="preserve">SEC-009</t>
  </si>
  <si>
    <t xml:space="preserve">Implement database encryption at rest</t>
  </si>
  <si>
    <t xml:space="preserve">Encrypt sensitive DB fields (tokens, passwords)</t>
  </si>
  <si>
    <t xml:space="preserve">Use DB encryption features</t>
  </si>
  <si>
    <t xml:space="preserve">SEC-010</t>
  </si>
  <si>
    <t xml:space="preserve">Add TLS/SSL for data in transit</t>
  </si>
  <si>
    <t xml:space="preserve">Configure HTTPS with valid certificates</t>
  </si>
  <si>
    <t xml:space="preserve">Use Let's Encrypt</t>
  </si>
  <si>
    <t xml:space="preserve">SEC-011</t>
  </si>
  <si>
    <t xml:space="preserve">Implement token encryption</t>
  </si>
  <si>
    <t xml:space="preserve">Encrypt OAuth tokens before DB storage</t>
  </si>
  <si>
    <t xml:space="preserve">Use AES-256</t>
  </si>
  <si>
    <t xml:space="preserve">SEC-012</t>
  </si>
  <si>
    <t xml:space="preserve">Add secrets management</t>
  </si>
  <si>
    <t xml:space="preserve">Use secure vault for API keys and secrets</t>
  </si>
  <si>
    <t xml:space="preserve">AWS Secrets Manager or similar</t>
  </si>
  <si>
    <t xml:space="preserve">SEC-013</t>
  </si>
  <si>
    <t xml:space="preserve">Implement data retention policy</t>
  </si>
  <si>
    <t xml:space="preserve">Auto-delete old transcripts and tasks</t>
  </si>
  <si>
    <t xml:space="preserve">Configurable retention period</t>
  </si>
  <si>
    <t xml:space="preserve">SEC-014</t>
  </si>
  <si>
    <t xml:space="preserve">Add user data export</t>
  </si>
  <si>
    <t xml:space="preserve">Allow users to download their data (GDPR)</t>
  </si>
  <si>
    <t xml:space="preserve">JSON export of all user data</t>
  </si>
  <si>
    <t xml:space="preserve">SEC-015</t>
  </si>
  <si>
    <t xml:space="preserve">Implement account deletion</t>
  </si>
  <si>
    <t xml:space="preserve">Complete data deletion on account close</t>
  </si>
  <si>
    <t xml:space="preserve">Cascade delete all related data</t>
  </si>
  <si>
    <t xml:space="preserve">AUTHENTICATION SECURITY</t>
  </si>
  <si>
    <t xml:space="preserve">Auth Security</t>
  </si>
  <si>
    <t xml:space="preserve">SEC-016</t>
  </si>
  <si>
    <t xml:space="preserve">Implement session timeout</t>
  </si>
  <si>
    <t xml:space="preserve">Auto-logout after inactivity period</t>
  </si>
  <si>
    <t xml:space="preserve">30 min default</t>
  </si>
  <si>
    <t xml:space="preserve">SEC-017</t>
  </si>
  <si>
    <t xml:space="preserve">Add multi-factor authentication (MFA)</t>
  </si>
  <si>
    <t xml:space="preserve">Support TOTP or SMS-based 2FA</t>
  </si>
  <si>
    <t xml:space="preserve">SEC-018</t>
  </si>
  <si>
    <t xml:space="preserve">Implement login attempt logging</t>
  </si>
  <si>
    <t xml:space="preserve">Log all login attempts (success and failure)</t>
  </si>
  <si>
    <t xml:space="preserve">BE-011, SETUP-016</t>
  </si>
  <si>
    <t xml:space="preserve">For security auditing</t>
  </si>
  <si>
    <t xml:space="preserve">SEC-019</t>
  </si>
  <si>
    <t xml:space="preserve">Add account lockout</t>
  </si>
  <si>
    <t xml:space="preserve">Lock account after N failed login attempts</t>
  </si>
  <si>
    <t xml:space="preserve">5 attempts, 15 min lockout</t>
  </si>
  <si>
    <t xml:space="preserve">SEC-020</t>
  </si>
  <si>
    <t xml:space="preserve">Implement secure password reset</t>
  </si>
  <si>
    <t xml:space="preserve">Time-limited tokens, invalidate after use</t>
  </si>
  <si>
    <t xml:space="preserve">COMPLIANCE</t>
  </si>
  <si>
    <t xml:space="preserve">Compliance</t>
  </si>
  <si>
    <t xml:space="preserve">SEC-021</t>
  </si>
  <si>
    <t xml:space="preserve">Create privacy policy</t>
  </si>
  <si>
    <t xml:space="preserve">Draft comprehensive privacy policy</t>
  </si>
  <si>
    <t xml:space="preserve">Legal</t>
  </si>
  <si>
    <t xml:space="preserve">Required for GDPR compliance</t>
  </si>
  <si>
    <t xml:space="preserve">SEC-022</t>
  </si>
  <si>
    <t xml:space="preserve">Create terms of service</t>
  </si>
  <si>
    <t xml:space="preserve">Draft terms of service document</t>
  </si>
  <si>
    <t xml:space="preserve">SEC-023</t>
  </si>
  <si>
    <t xml:space="preserve">Add cookie consent banner</t>
  </si>
  <si>
    <t xml:space="preserve">GDPR-compliant cookie consent</t>
  </si>
  <si>
    <t xml:space="preserve">If using non-essential cookies</t>
  </si>
  <si>
    <t xml:space="preserve">SEC-024</t>
  </si>
  <si>
    <t xml:space="preserve">Implement GDPR data processing agreement</t>
  </si>
  <si>
    <t xml:space="preserve">For users in EU</t>
  </si>
  <si>
    <t xml:space="preserve">If targeting EU users</t>
  </si>
  <si>
    <t xml:space="preserve">SEC-025</t>
  </si>
  <si>
    <t xml:space="preserve">Add audit logging</t>
  </si>
  <si>
    <t xml:space="preserve">Log all data access and modifications</t>
  </si>
  <si>
    <t xml:space="preserve">For compliance auditing</t>
  </si>
  <si>
    <t xml:space="preserve">API DOCUMENTATION</t>
  </si>
  <si>
    <t xml:space="preserve">API Docs</t>
  </si>
  <si>
    <t xml:space="preserve">DOC-001</t>
  </si>
  <si>
    <t xml:space="preserve">Set up API documentation tool</t>
  </si>
  <si>
    <t xml:space="preserve">Configure Swagger/OpenAPI or similar</t>
  </si>
  <si>
    <t xml:space="preserve">Auto-generate from code</t>
  </si>
  <si>
    <t xml:space="preserve">DOC-002</t>
  </si>
  <si>
    <t xml:space="preserve">Document authentication endpoints</t>
  </si>
  <si>
    <t xml:space="preserve">Document /auth/* endpoints with examples</t>
  </si>
  <si>
    <t xml:space="preserve">BE-009 to BE-017, DOC-001</t>
  </si>
  <si>
    <t xml:space="preserve">DOC-003</t>
  </si>
  <si>
    <t xml:space="preserve">Document transcript endpoints</t>
  </si>
  <si>
    <t xml:space="preserve">Document all transcript CRUD endpoints</t>
  </si>
  <si>
    <t xml:space="preserve">BE-018 to BE-023, DOC-001</t>
  </si>
  <si>
    <t xml:space="preserve">DOC-004</t>
  </si>
  <si>
    <t xml:space="preserve">Document task endpoints</t>
  </si>
  <si>
    <t xml:space="preserve">Document all task endpoints</t>
  </si>
  <si>
    <t xml:space="preserve">BE-024 to BE-030, DOC-001</t>
  </si>
  <si>
    <t xml:space="preserve">DOC-005</t>
  </si>
  <si>
    <t xml:space="preserve">Document integration endpoints</t>
  </si>
  <si>
    <t xml:space="preserve">Document OAuth and integration management</t>
  </si>
  <si>
    <t xml:space="preserve">BE-031 to BE-035, DOC-001</t>
  </si>
  <si>
    <t xml:space="preserve">DOC-006</t>
  </si>
  <si>
    <t xml:space="preserve">Add request/response examples</t>
  </si>
  <si>
    <t xml:space="preserve">Provide example payloads for all endpoints</t>
  </si>
  <si>
    <t xml:space="preserve">DOC-007</t>
  </si>
  <si>
    <t xml:space="preserve">Document error responses</t>
  </si>
  <si>
    <t xml:space="preserve">List all possible error codes and messages</t>
  </si>
  <si>
    <t xml:space="preserve">DOC-008</t>
  </si>
  <si>
    <t xml:space="preserve">Create GraphQL schema documentation</t>
  </si>
  <si>
    <t xml:space="preserve">If using GraphQL, document schema</t>
  </si>
  <si>
    <t xml:space="preserve">BE-004, DOC-001</t>
  </si>
  <si>
    <t xml:space="preserve">TECHNICAL DOCUMENTATION</t>
  </si>
  <si>
    <t xml:space="preserve">Tech Docs</t>
  </si>
  <si>
    <t xml:space="preserve">DOC-009</t>
  </si>
  <si>
    <t xml:space="preserve">Write architecture overview</t>
  </si>
  <si>
    <t xml:space="preserve">High-level system architecture document</t>
  </si>
  <si>
    <t xml:space="preserve">Include diagrams</t>
  </si>
  <si>
    <t xml:space="preserve">DOC-010</t>
  </si>
  <si>
    <t xml:space="preserve">Document database schema</t>
  </si>
  <si>
    <t xml:space="preserve">ERD and table descriptions</t>
  </si>
  <si>
    <t xml:space="preserve">DOC-011</t>
  </si>
  <si>
    <t xml:space="preserve">Create deployment guide</t>
  </si>
  <si>
    <t xml:space="preserve">Step-by-step deployment instructions</t>
  </si>
  <si>
    <t xml:space="preserve">DOC-012</t>
  </si>
  <si>
    <t xml:space="preserve">Write local development setup guide</t>
  </si>
  <si>
    <t xml:space="preserve">Instructions for setting up dev environment</t>
  </si>
  <si>
    <t xml:space="preserve">DOC-013</t>
  </si>
  <si>
    <t xml:space="preserve">Document LLM prompt engineering</t>
  </si>
  <si>
    <t xml:space="preserve">Explain prompt templates and tuning process</t>
  </si>
  <si>
    <t xml:space="preserve">DOC-014</t>
  </si>
  <si>
    <t xml:space="preserve">Document scheduling algorithm</t>
  </si>
  <si>
    <t xml:space="preserve">Explain slot-finding logic and edge cases</t>
  </si>
  <si>
    <t xml:space="preserve">DOC-015</t>
  </si>
  <si>
    <t xml:space="preserve">Create troubleshooting guide</t>
  </si>
  <si>
    <t xml:space="preserve">Common issues and solutions</t>
  </si>
  <si>
    <t xml:space="preserve">USER DOCUMENTATION</t>
  </si>
  <si>
    <t xml:space="preserve">User Docs</t>
  </si>
  <si>
    <t xml:space="preserve">DOC-016</t>
  </si>
  <si>
    <t xml:space="preserve">Write user onboarding guide</t>
  </si>
  <si>
    <t xml:space="preserve">Getting started guide for new users</t>
  </si>
  <si>
    <t xml:space="preserve">DOC-017</t>
  </si>
  <si>
    <t xml:space="preserve">Create video tutorials</t>
  </si>
  <si>
    <t xml:space="preserve">Screen recordings for key workflows</t>
  </si>
  <si>
    <t xml:space="preserve">Upload, review, schedule</t>
  </si>
  <si>
    <t xml:space="preserve">DOC-018</t>
  </si>
  <si>
    <t xml:space="preserve">Write FAQ document</t>
  </si>
  <si>
    <t xml:space="preserve">Common questions and answers</t>
  </si>
  <si>
    <t xml:space="preserve">DOC-019</t>
  </si>
  <si>
    <t xml:space="preserve">Create integration guides</t>
  </si>
  <si>
    <t xml:space="preserve">How to connect Google, Slack, etc.</t>
  </si>
  <si>
    <t xml:space="preserve">INT-003, INT-012</t>
  </si>
  <si>
    <t xml:space="preserve">DOC-020</t>
  </si>
  <si>
    <t xml:space="preserve">Add in-app tooltips</t>
  </si>
  <si>
    <t xml:space="preserve">Contextual help throughout the UI</t>
  </si>
  <si>
    <t xml:space="preserve">Use onboarding library</t>
  </si>
  <si>
    <t xml:space="preserve">CODE DOCUMENTATION</t>
  </si>
  <si>
    <t xml:space="preserve">Code Docs</t>
  </si>
  <si>
    <t xml:space="preserve">DOC-021</t>
  </si>
  <si>
    <t xml:space="preserve">Add JSDoc/docstrings</t>
  </si>
  <si>
    <t xml:space="preserve">Document all functions and classes</t>
  </si>
  <si>
    <t xml:space="preserve">All Devs</t>
  </si>
  <si>
    <t xml:space="preserve">Ongoing during development</t>
  </si>
  <si>
    <t xml:space="preserve">DOC-022</t>
  </si>
  <si>
    <t xml:space="preserve">Create contributing guide</t>
  </si>
  <si>
    <t xml:space="preserve">Guidelines for contributing to codebase</t>
  </si>
  <si>
    <t xml:space="preserve">DOC-023</t>
  </si>
  <si>
    <t xml:space="preserve">Document code style guide</t>
  </si>
  <si>
    <t xml:space="preserve">Coding standards and conventions</t>
  </si>
  <si>
    <t xml:space="preserve">HOSTING INFRASTRUCTURE</t>
  </si>
  <si>
    <t xml:space="preserve">Infrastructure</t>
  </si>
  <si>
    <t xml:space="preserve">DEPLOY-001</t>
  </si>
  <si>
    <t xml:space="preserve">Choose hosting providers</t>
  </si>
  <si>
    <t xml:space="preserve">Finalize: Frontend (Vercel/Netlify), Backend (Render/Fly.io), DB (Supabase/RDS)</t>
  </si>
  <si>
    <t xml:space="preserve">Consider cost and scalability</t>
  </si>
  <si>
    <t xml:space="preserve">DEPLOY-002</t>
  </si>
  <si>
    <t xml:space="preserve">Set up production database</t>
  </si>
  <si>
    <t xml:space="preserve">Create production PostgreSQL instance</t>
  </si>
  <si>
    <t xml:space="preserve">DEPLOY-001, DB-007</t>
  </si>
  <si>
    <t xml:space="preserve">Enable automated backups</t>
  </si>
  <si>
    <t xml:space="preserve">DEPLOY-003</t>
  </si>
  <si>
    <t xml:space="preserve">Set up Redis production instance</t>
  </si>
  <si>
    <t xml:space="preserve">Create production Redis for queue and cache</t>
  </si>
  <si>
    <t xml:space="preserve">DEPLOY-001, DB-014</t>
  </si>
  <si>
    <t xml:space="preserve">DEPLOY-004</t>
  </si>
  <si>
    <t xml:space="preserve">Configure CDN</t>
  </si>
  <si>
    <t xml:space="preserve">Set up CDN for frontend static assets</t>
  </si>
  <si>
    <t xml:space="preserve">CloudFlare or similar</t>
  </si>
  <si>
    <t xml:space="preserve">DEPLOY-005</t>
  </si>
  <si>
    <t xml:space="preserve">Set up object storage</t>
  </si>
  <si>
    <t xml:space="preserve">Create S3 bucket or equivalent for media files</t>
  </si>
  <si>
    <t xml:space="preserve">DEPLOY-001, DB-013</t>
  </si>
  <si>
    <t xml:space="preserve">DEPLOY-006</t>
  </si>
  <si>
    <t xml:space="preserve">Configure DNS</t>
  </si>
  <si>
    <t xml:space="preserve">Set up custom domain and DNS records</t>
  </si>
  <si>
    <t xml:space="preserve">DEPLOY-007</t>
  </si>
  <si>
    <t xml:space="preserve">Set up SSL certificates</t>
  </si>
  <si>
    <t xml:space="preserve">Configure HTTPS with auto-renewal</t>
  </si>
  <si>
    <t xml:space="preserve">Let's Encrypt</t>
  </si>
  <si>
    <t xml:space="preserve">CONTAINERIZATION</t>
  </si>
  <si>
    <t xml:space="preserve">Containers</t>
  </si>
  <si>
    <t xml:space="preserve">DEPLOY-008</t>
  </si>
  <si>
    <t xml:space="preserve">Create production Dockerfile for backend</t>
  </si>
  <si>
    <t xml:space="preserve">Optimize for size and security</t>
  </si>
  <si>
    <t xml:space="preserve">Multi-stage build</t>
  </si>
  <si>
    <t xml:space="preserve">DEPLOY-009</t>
  </si>
  <si>
    <t xml:space="preserve">Create production Dockerfile for workers</t>
  </si>
  <si>
    <t xml:space="preserve">Separate image for worker processes</t>
  </si>
  <si>
    <t xml:space="preserve">DEPLOY-010</t>
  </si>
  <si>
    <t xml:space="preserve">Create docker-compose for production</t>
  </si>
  <si>
    <t xml:space="preserve">Production-ready compose file</t>
  </si>
  <si>
    <t xml:space="preserve">Or use orchestration</t>
  </si>
  <si>
    <t xml:space="preserve">DEPLOY-011</t>
  </si>
  <si>
    <t xml:space="preserve">Set up container registry</t>
  </si>
  <si>
    <t xml:space="preserve">Docker Hub, ECR, or GCR</t>
  </si>
  <si>
    <t xml:space="preserve">DEPLOY-012</t>
  </si>
  <si>
    <t xml:space="preserve">Configure health checks</t>
  </si>
  <si>
    <t xml:space="preserve">Container health check endpoints</t>
  </si>
  <si>
    <t xml:space="preserve">GET /health</t>
  </si>
  <si>
    <t xml:space="preserve">DEPLOYMENT AUTOMATION</t>
  </si>
  <si>
    <t xml:space="preserve">Automation</t>
  </si>
  <si>
    <t xml:space="preserve">DEPLOY-013</t>
  </si>
  <si>
    <t xml:space="preserve">Create staging deployment workflow</t>
  </si>
  <si>
    <t xml:space="preserve">Automated deploy to staging on merge to develop</t>
  </si>
  <si>
    <t xml:space="preserve">DEPLOY-014</t>
  </si>
  <si>
    <t xml:space="preserve">Create production deployment workflow</t>
  </si>
  <si>
    <t xml:space="preserve">Automated deploy to prod on merge to main</t>
  </si>
  <si>
    <t xml:space="preserve">Require manual approval</t>
  </si>
  <si>
    <t xml:space="preserve">DEPLOY-015</t>
  </si>
  <si>
    <t xml:space="preserve">Implement database migration in CI/CD</t>
  </si>
  <si>
    <t xml:space="preserve">Auto-run migrations on deployment</t>
  </si>
  <si>
    <t xml:space="preserve">DB-008, DEPLOY-014</t>
  </si>
  <si>
    <t xml:space="preserve">DEPLOY-016</t>
  </si>
  <si>
    <t xml:space="preserve">Add deployment rollback mechanism</t>
  </si>
  <si>
    <t xml:space="preserve">Quick rollback for failed deployments</t>
  </si>
  <si>
    <t xml:space="preserve">DEPLOY-017</t>
  </si>
  <si>
    <t xml:space="preserve">Configure auto-scaling</t>
  </si>
  <si>
    <t xml:space="preserve">Scale backend/workers based on load</t>
  </si>
  <si>
    <t xml:space="preserve">Use platform auto-scaling</t>
  </si>
  <si>
    <t xml:space="preserve">DEPLOY-018</t>
  </si>
  <si>
    <t xml:space="preserve">Set up blue-green deployment</t>
  </si>
  <si>
    <t xml:space="preserve">Zero-downtime deployment strategy</t>
  </si>
  <si>
    <t xml:space="preserve">Future optimization</t>
  </si>
  <si>
    <t xml:space="preserve">ENVIRONMENT CONFIGURATION</t>
  </si>
  <si>
    <t xml:space="preserve">Config</t>
  </si>
  <si>
    <t xml:space="preserve">DEPLOY-019</t>
  </si>
  <si>
    <t xml:space="preserve">Set production environment variables</t>
  </si>
  <si>
    <t xml:space="preserve">Configure all required env vars for production</t>
  </si>
  <si>
    <t xml:space="preserve">OpenAI key, DB URL, OAuth creds</t>
  </si>
  <si>
    <t xml:space="preserve">DEPLOY-020</t>
  </si>
  <si>
    <t xml:space="preserve">Configure production logging</t>
  </si>
  <si>
    <t xml:space="preserve">Set appropriate log levels and retention</t>
  </si>
  <si>
    <t xml:space="preserve">SETUP-016, DEPLOY-002</t>
  </si>
  <si>
    <t xml:space="preserve">Ship logs to centralized service</t>
  </si>
  <si>
    <t xml:space="preserve">DEPLOY-021</t>
  </si>
  <si>
    <t xml:space="preserve">Set up backup and disaster recovery</t>
  </si>
  <si>
    <t xml:space="preserve">Automated backups with restore testing</t>
  </si>
  <si>
    <t xml:space="preserve">Test restore quarterly</t>
  </si>
  <si>
    <t xml:space="preserve">DEPLOY-022</t>
  </si>
  <si>
    <t xml:space="preserve">Configure rate limits for production</t>
  </si>
  <si>
    <t xml:space="preserve">Set production-appropriate rate limits</t>
  </si>
  <si>
    <t xml:space="preserve">SEC-002, DEPLOY-002</t>
  </si>
  <si>
    <t xml:space="preserve">DEPLOY-023</t>
  </si>
  <si>
    <t xml:space="preserve">Set up monitoring alerts</t>
  </si>
  <si>
    <t xml:space="preserve">Configure alerts for production issues</t>
  </si>
  <si>
    <t xml:space="preserve">ANLYT-017, DEPLOY-002</t>
  </si>
  <si>
    <t xml:space="preserve">Email/SMS/Slack</t>
  </si>
  <si>
    <t xml:space="preserve">PERFORMANCE OPTIMIZATION</t>
  </si>
  <si>
    <t xml:space="preserve">Performance</t>
  </si>
  <si>
    <t xml:space="preserve">OPT-001</t>
  </si>
  <si>
    <t xml:space="preserve">Add database query optimization</t>
  </si>
  <si>
    <t xml:space="preserve">Analyze and optimize slow queries</t>
  </si>
  <si>
    <t xml:space="preserve">Use EXPLAIN ANALYZE</t>
  </si>
  <si>
    <t xml:space="preserve">OPT-002</t>
  </si>
  <si>
    <t xml:space="preserve">Implement API response caching</t>
  </si>
  <si>
    <t xml:space="preserve">Cache frequent GET requests</t>
  </si>
  <si>
    <t xml:space="preserve">Redis cache with TTL</t>
  </si>
  <si>
    <t xml:space="preserve">OPT-003</t>
  </si>
  <si>
    <t xml:space="preserve">Add database connection pooling optimization</t>
  </si>
  <si>
    <t xml:space="preserve">Tune pool size for load</t>
  </si>
  <si>
    <t xml:space="preserve">OPT-004</t>
  </si>
  <si>
    <t xml:space="preserve">Optimize LLM token usage</t>
  </si>
  <si>
    <t xml:space="preserve">Reduce unnecessary tokens in prompts</t>
  </si>
  <si>
    <t xml:space="preserve">Reduce API costs</t>
  </si>
  <si>
    <t xml:space="preserve">OPT-005</t>
  </si>
  <si>
    <t xml:space="preserve">Implement lazy loading in frontend</t>
  </si>
  <si>
    <t xml:space="preserve">Load components and images on demand</t>
  </si>
  <si>
    <t xml:space="preserve">React.lazy and Suspense</t>
  </si>
  <si>
    <t xml:space="preserve">OPT-006</t>
  </si>
  <si>
    <t xml:space="preserve">Add frontend code splitting</t>
  </si>
  <si>
    <t xml:space="preserve">Split bundles by route</t>
  </si>
  <si>
    <t xml:space="preserve">Reduce initial load time</t>
  </si>
  <si>
    <t xml:space="preserve">OPT-007</t>
  </si>
  <si>
    <t xml:space="preserve">Optimize frontend bundle size</t>
  </si>
  <si>
    <t xml:space="preserve">Tree shaking, minification, compression</t>
  </si>
  <si>
    <t xml:space="preserve">Target &lt;500KB initial load</t>
  </si>
  <si>
    <t xml:space="preserve">OPT-008</t>
  </si>
  <si>
    <t xml:space="preserve">Add image optimization</t>
  </si>
  <si>
    <t xml:space="preserve">Compress and lazy-load images</t>
  </si>
  <si>
    <t xml:space="preserve">Use WebP format</t>
  </si>
  <si>
    <t xml:space="preserve">OPT-009</t>
  </si>
  <si>
    <t xml:space="preserve">Implement API pagination</t>
  </si>
  <si>
    <t xml:space="preserve">Add pagination to all list endpoints</t>
  </si>
  <si>
    <t xml:space="preserve">BE-019, BE-029</t>
  </si>
  <si>
    <t xml:space="preserve">OPT-010</t>
  </si>
  <si>
    <t xml:space="preserve">Add database indexing strategy</t>
  </si>
  <si>
    <t xml:space="preserve">Create indexes based on query patterns</t>
  </si>
  <si>
    <t xml:space="preserve">Monitor index usage</t>
  </si>
  <si>
    <t xml:space="preserve">SCALABILITY</t>
  </si>
  <si>
    <t xml:space="preserve">Scalability</t>
  </si>
  <si>
    <t xml:space="preserve">OPT-011</t>
  </si>
  <si>
    <t xml:space="preserve">Implement horizontal scaling for workers</t>
  </si>
  <si>
    <t xml:space="preserve">Allow multiple worker instances</t>
  </si>
  <si>
    <t xml:space="preserve">OPT-012</t>
  </si>
  <si>
    <t xml:space="preserve">Add load balancer</t>
  </si>
  <si>
    <t xml:space="preserve">Distribute traffic across backend instances</t>
  </si>
  <si>
    <t xml:space="preserve">Use platform load balancer</t>
  </si>
  <si>
    <t xml:space="preserve">OPT-013</t>
  </si>
  <si>
    <t xml:space="preserve">Implement job queue partitioning</t>
  </si>
  <si>
    <t xml:space="preserve">Separate queues for different job types</t>
  </si>
  <si>
    <t xml:space="preserve">Priority queues</t>
  </si>
  <si>
    <t xml:space="preserve">OPT-014</t>
  </si>
  <si>
    <t xml:space="preserve">Add database sharding strategy</t>
  </si>
  <si>
    <t xml:space="preserve">Plan for horizontal database scaling</t>
  </si>
  <si>
    <t xml:space="preserve">PRE-LAUNCH</t>
  </si>
  <si>
    <t xml:space="preserve">Pre-Launch</t>
  </si>
  <si>
    <t xml:space="preserve">LAUNCH-001</t>
  </si>
  <si>
    <t xml:space="preserve">Conduct security audit</t>
  </si>
  <si>
    <t xml:space="preserve">Third-party security assessment</t>
  </si>
  <si>
    <t xml:space="preserve">Security Team</t>
  </si>
  <si>
    <t xml:space="preserve">SEC-001 to SEC-025</t>
  </si>
  <si>
    <t xml:space="preserve">Identify vulnerabilities</t>
  </si>
  <si>
    <t xml:space="preserve">LAUNCH-002</t>
  </si>
  <si>
    <t xml:space="preserve">Perform load testing</t>
  </si>
  <si>
    <t xml:space="preserve">Test system under expected peak load</t>
  </si>
  <si>
    <t xml:space="preserve">TEST-001, DEPLOY-002</t>
  </si>
  <si>
    <t xml:space="preserve">Use k6 or similar</t>
  </si>
  <si>
    <t xml:space="preserve">LAUNCH-003</t>
  </si>
  <si>
    <t xml:space="preserve">Conduct penetration testing</t>
  </si>
  <si>
    <t xml:space="preserve">Ethical hacking to find vulnerabilities</t>
  </si>
  <si>
    <t xml:space="preserve">SEC-001, DEPLOY-002</t>
  </si>
  <si>
    <t xml:space="preserve">LAUNCH-004</t>
  </si>
  <si>
    <t xml:space="preserve">Create incident response plan</t>
  </si>
  <si>
    <t xml:space="preserve">Document procedures for handling incidents</t>
  </si>
  <si>
    <t xml:space="preserve">LAUNCH-005</t>
  </si>
  <si>
    <t xml:space="preserve">Set up customer support system</t>
  </si>
  <si>
    <t xml:space="preserve">Email support or helpdesk software</t>
  </si>
  <si>
    <t xml:space="preserve">Zendesk, Intercom, or similar</t>
  </si>
  <si>
    <t xml:space="preserve">LAUNCH-006</t>
  </si>
  <si>
    <t xml:space="preserve">Create launch checklist</t>
  </si>
  <si>
    <t xml:space="preserve">Final pre-launch verification checklist</t>
  </si>
  <si>
    <t xml:space="preserve">LAUNCH-007</t>
  </si>
  <si>
    <t xml:space="preserve">Conduct UAT (User Acceptance Testing)</t>
  </si>
  <si>
    <t xml:space="preserve">Beta testing with select users</t>
  </si>
  <si>
    <t xml:space="preserve">TEST-027 to TEST-032</t>
  </si>
  <si>
    <t xml:space="preserve">Gather feedback</t>
  </si>
  <si>
    <t xml:space="preserve">LAUNCH-008</t>
  </si>
  <si>
    <t xml:space="preserve">Prepare marketing materials</t>
  </si>
  <si>
    <t xml:space="preserve">Landing page, screenshots, demo video</t>
  </si>
  <si>
    <t xml:space="preserve">Marketing</t>
  </si>
  <si>
    <t xml:space="preserve">BETA LAUNCH</t>
  </si>
  <si>
    <t xml:space="preserve">Beta</t>
  </si>
  <si>
    <t xml:space="preserve">LAUNCH-009</t>
  </si>
  <si>
    <t xml:space="preserve">Deploy to beta environment</t>
  </si>
  <si>
    <t xml:space="preserve">Limited release to beta testers</t>
  </si>
  <si>
    <t xml:space="preserve">DEPLOY-014, LAUNCH-007</t>
  </si>
  <si>
    <t xml:space="preserve">LAUNCH-010</t>
  </si>
  <si>
    <t xml:space="preserve">Monitor beta metrics closely</t>
  </si>
  <si>
    <t xml:space="preserve">Track errors, performance, user feedback</t>
  </si>
  <si>
    <t xml:space="preserve">ANLYT-018, LAUNCH-009</t>
  </si>
  <si>
    <t xml:space="preserve">Daily monitoring</t>
  </si>
  <si>
    <t xml:space="preserve">LAUNCH-011</t>
  </si>
  <si>
    <t xml:space="preserve">Collect and prioritize beta feedback</t>
  </si>
  <si>
    <t xml:space="preserve">Create issues from user feedback</t>
  </si>
  <si>
    <t xml:space="preserve">LAUNCH-012</t>
  </si>
  <si>
    <t xml:space="preserve">Fix critical beta issues</t>
  </si>
  <si>
    <t xml:space="preserve">Address showstopper bugs</t>
  </si>
  <si>
    <t xml:space="preserve">Before public launch</t>
  </si>
  <si>
    <t xml:space="preserve">PUBLIC LAUNCH</t>
  </si>
  <si>
    <t xml:space="preserve">Launch</t>
  </si>
  <si>
    <t xml:space="preserve">LAUNCH-013</t>
  </si>
  <si>
    <t xml:space="preserve">Final production deployment</t>
  </si>
  <si>
    <t xml:space="preserve">Deploy stable version to production</t>
  </si>
  <si>
    <t xml:space="preserve">LAUNCH-012, DEPLOY-014</t>
  </si>
  <si>
    <t xml:space="preserve">LAUNCH-014</t>
  </si>
  <si>
    <t xml:space="preserve">Activate monitoring and alerts</t>
  </si>
  <si>
    <t xml:space="preserve">Ensure all monitoring is active</t>
  </si>
  <si>
    <t xml:space="preserve">ANLYT-017, LAUNCH-013</t>
  </si>
  <si>
    <t xml:space="preserve">LAUNCH-015</t>
  </si>
  <si>
    <t xml:space="preserve">Publish marketing announcement</t>
  </si>
  <si>
    <t xml:space="preserve">Blog post, social media, press release</t>
  </si>
  <si>
    <t xml:space="preserve">LAUNCH-016</t>
  </si>
  <si>
    <t xml:space="preserve">Submit to directories</t>
  </si>
  <si>
    <t xml:space="preserve">Product Hunt, BetaList, etc.</t>
  </si>
  <si>
    <t xml:space="preserve">LAUNCH-017</t>
  </si>
  <si>
    <t xml:space="preserve">Monitor launch day metrics</t>
  </si>
  <si>
    <t xml:space="preserve">Watch for issues, track signups</t>
  </si>
  <si>
    <t xml:space="preserve">All</t>
  </si>
  <si>
    <t xml:space="preserve">War room monitoring</t>
  </si>
  <si>
    <t xml:space="preserve">POST-LAUNCH</t>
  </si>
  <si>
    <t xml:space="preserve">Post-Launch</t>
  </si>
  <si>
    <t xml:space="preserve">LAUNCH-018</t>
  </si>
  <si>
    <t xml:space="preserve">Establish on-call rotation</t>
  </si>
  <si>
    <t xml:space="preserve">24/7 coverage for critical issues</t>
  </si>
  <si>
    <t xml:space="preserve">LAUNCH-019</t>
  </si>
  <si>
    <t xml:space="preserve">Create user feedback loop</t>
  </si>
  <si>
    <t xml:space="preserve">In-app feedback mechanism</t>
  </si>
  <si>
    <t xml:space="preserve">LAUNCH-020</t>
  </si>
  <si>
    <t xml:space="preserve">Plan feature roadmap</t>
  </si>
  <si>
    <t xml:space="preserve">Prioritize next features based on feedback</t>
  </si>
  <si>
    <t xml:space="preserve">ADVANCED FEATURES</t>
  </si>
  <si>
    <t xml:space="preserve">Advanced</t>
  </si>
  <si>
    <t xml:space="preserve">FUTURE-001</t>
  </si>
  <si>
    <t xml:space="preserve">Add multi-language support</t>
  </si>
  <si>
    <t xml:space="preserve">i18n for multiple languages</t>
  </si>
  <si>
    <t xml:space="preserve">Start with Spanish, French</t>
  </si>
  <si>
    <t xml:space="preserve">FUTURE-002</t>
  </si>
  <si>
    <t xml:space="preserve">Implement voice-to-text transcription</t>
  </si>
  <si>
    <t xml:space="preserve">Upload audio/video, auto-transcribe</t>
  </si>
  <si>
    <t xml:space="preserve">Use Whisper API or similar</t>
  </si>
  <si>
    <t xml:space="preserve">FUTURE-003</t>
  </si>
  <si>
    <t xml:space="preserve">Add real-time collaboration</t>
  </si>
  <si>
    <t xml:space="preserve">Multiple users editing tasks simultaneously</t>
  </si>
  <si>
    <t xml:space="preserve">WebSocket-based</t>
  </si>
  <si>
    <t xml:space="preserve">FUTURE-004</t>
  </si>
  <si>
    <t xml:space="preserve">Implement task dependencies</t>
  </si>
  <si>
    <t xml:space="preserve">Define task order and prerequisites</t>
  </si>
  <si>
    <t xml:space="preserve">DB-004, SCHED-001</t>
  </si>
  <si>
    <t xml:space="preserve">Affects scheduling</t>
  </si>
  <si>
    <t xml:space="preserve">FUTURE-005</t>
  </si>
  <si>
    <t xml:space="preserve">Add recurring tasks support</t>
  </si>
  <si>
    <t xml:space="preserve">Tasks that repeat on schedule</t>
  </si>
  <si>
    <t xml:space="preserve">DB-004, SCHED-018</t>
  </si>
  <si>
    <t xml:space="preserve">FUTURE-006</t>
  </si>
  <si>
    <t xml:space="preserve">Implement task templates</t>
  </si>
  <si>
    <t xml:space="preserve">Pre-defined task sets for common meetings</t>
  </si>
  <si>
    <t xml:space="preserve">E.g., 'Sprint Planning' template</t>
  </si>
  <si>
    <t xml:space="preserve">FUTURE-007</t>
  </si>
  <si>
    <t xml:space="preserve">Add team/workspace support</t>
  </si>
  <si>
    <t xml:space="preserve">Multiple users in shared workspace</t>
  </si>
  <si>
    <t xml:space="preserve">Major feature</t>
  </si>
  <si>
    <t xml:space="preserve">FUTURE-008</t>
  </si>
  <si>
    <t xml:space="preserve">Implement task prioritization</t>
  </si>
  <si>
    <t xml:space="preserve">User-defined priority levels</t>
  </si>
  <si>
    <t xml:space="preserve">Affects scheduling order</t>
  </si>
  <si>
    <t xml:space="preserve">FUTURE-009</t>
  </si>
  <si>
    <t xml:space="preserve">Add email integration</t>
  </si>
  <si>
    <t xml:space="preserve">Extract tasks from emails</t>
  </si>
  <si>
    <t xml:space="preserve">Gmail/Outlook integration</t>
  </si>
  <si>
    <t xml:space="preserve">FUTURE-010</t>
  </si>
  <si>
    <t xml:space="preserve">Implement smart suggestions</t>
  </si>
  <si>
    <t xml:space="preserve">Suggest optimal meeting times based on history</t>
  </si>
  <si>
    <t xml:space="preserve">ML-based</t>
  </si>
  <si>
    <t xml:space="preserve">INTEGRATIONS EXPANSION</t>
  </si>
  <si>
    <t xml:space="preserve">FUTURE-011</t>
  </si>
  <si>
    <t xml:space="preserve">Add Microsoft Teams integration</t>
  </si>
  <si>
    <t xml:space="preserve">Similar to Slack integration</t>
  </si>
  <si>
    <t xml:space="preserve">FUTURE-012</t>
  </si>
  <si>
    <t xml:space="preserve">Add Zoom integration</t>
  </si>
  <si>
    <t xml:space="preserve">Auto-fetch transcripts from Zoom meetings</t>
  </si>
  <si>
    <t xml:space="preserve">Zoom API + webhooks</t>
  </si>
  <si>
    <t xml:space="preserve">FUTURE-013</t>
  </si>
  <si>
    <t xml:space="preserve">Add Microsoft Outlook Calendar</t>
  </si>
  <si>
    <t xml:space="preserve">Alternative to Google Calendar</t>
  </si>
  <si>
    <t xml:space="preserve">FUTURE-014</t>
  </si>
  <si>
    <t xml:space="preserve">Add Jira integration</t>
  </si>
  <si>
    <t xml:space="preserve">Create Jira tickets from tasks</t>
  </si>
  <si>
    <t xml:space="preserve">FUTURE-015</t>
  </si>
  <si>
    <t xml:space="preserve">Add Trello integration</t>
  </si>
  <si>
    <t xml:space="preserve">Create Trello cards from tasks</t>
  </si>
  <si>
    <t xml:space="preserve">FUTURE-016</t>
  </si>
  <si>
    <t xml:space="preserve">Add Monday.com integration</t>
  </si>
  <si>
    <t xml:space="preserve">Sync tasks to Monday boards</t>
  </si>
  <si>
    <t xml:space="preserve">MOBILE APPLICATION</t>
  </si>
  <si>
    <t xml:space="preserve">Mobile</t>
  </si>
  <si>
    <t xml:space="preserve">FUTURE-017</t>
  </si>
  <si>
    <t xml:space="preserve">Design mobile app architecture</t>
  </si>
  <si>
    <t xml:space="preserve">Native vs React Native vs Flutter</t>
  </si>
  <si>
    <t xml:space="preserve">FUTURE-018</t>
  </si>
  <si>
    <t xml:space="preserve">Develop iOS app</t>
  </si>
  <si>
    <t xml:space="preserve">Native iOS application</t>
  </si>
  <si>
    <t xml:space="preserve">Mobile Dev</t>
  </si>
  <si>
    <t xml:space="preserve">FUTURE-019</t>
  </si>
  <si>
    <t xml:space="preserve">Develop Android app</t>
  </si>
  <si>
    <t xml:space="preserve">Native Android application</t>
  </si>
  <si>
    <t xml:space="preserve">FUTURE-020</t>
  </si>
  <si>
    <t xml:space="preserve">Add push notifications</t>
  </si>
  <si>
    <t xml:space="preserve">Mobile push for task reminders</t>
  </si>
  <si>
    <t xml:space="preserve">AI/ML ENHANCEMENTS</t>
  </si>
  <si>
    <t xml:space="preserve">AI/ML</t>
  </si>
  <si>
    <t xml:space="preserve">FUTURE-021</t>
  </si>
  <si>
    <t xml:space="preserve">Fine-tune custom extraction model</t>
  </si>
  <si>
    <t xml:space="preserve">Train model on user feedback</t>
  </si>
  <si>
    <t xml:space="preserve">Improve accuracy</t>
  </si>
  <si>
    <t xml:space="preserve">FUTURE-022</t>
  </si>
  <si>
    <t xml:space="preserve">Add sentiment analysis</t>
  </si>
  <si>
    <t xml:space="preserve">Detect urgency/priority from tone</t>
  </si>
  <si>
    <t xml:space="preserve">FUTURE-023</t>
  </si>
  <si>
    <t xml:space="preserve">Implement action item categorization</t>
  </si>
  <si>
    <t xml:space="preserve">Auto-categorize tasks by type</t>
  </si>
  <si>
    <t xml:space="preserve">FUTURE-024</t>
  </si>
  <si>
    <t xml:space="preserve">Add task estimation ML model</t>
  </si>
  <si>
    <t xml:space="preserve">Better duration predictions</t>
  </si>
  <si>
    <t xml:space="preserve">FUTURE-025</t>
  </si>
  <si>
    <t xml:space="preserve">Implement meeting summarization</t>
  </si>
  <si>
    <t xml:space="preserve">Auto-generate meeting summaries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</si>
</sst>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788"/>
        <bgColor rgb="FF003366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7.3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  <c r="C5" s="0" t="n">
        <f aca="false">SUMIF('1. Setup &amp; Database'!A:A,"Project Initialization",'1. Setup &amp; Database'!G:G)+SUMIF('1. Setup &amp; Database'!A:A,"Development Tools",'1. Setup &amp; Database'!G:G)+SUMIF('1. Setup &amp; Database'!A:A,"CI/CD",'1. Setup &amp; Database'!G:G)+SUMIF('1. Setup &amp; Database'!A:A,"Monitoring",'1. Setup &amp; Database'!G:G)</f>
        <v>119</v>
      </c>
    </row>
    <row r="6" customFormat="false" ht="15" hidden="false" customHeight="false" outlineLevel="0" collapsed="false">
      <c r="A6" s="0" t="s">
        <v>7</v>
      </c>
      <c r="B6" s="0" t="s">
        <v>8</v>
      </c>
      <c r="C6" s="0" t="n">
        <f aca="false">SUMIF('1. Setup &amp; Database'!A:A,"Database Schema",'1. Setup &amp; Database'!G:G)+SUMIF('1. Setup &amp; Database'!A:A,"Database Setup",'1. Setup &amp; Database'!G:G)+SUMIF('1. Setup &amp; Database'!A:A,"Storage",'1. Setup &amp; Database'!G:G)</f>
        <v>94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n">
        <f aca="false">SUMIF('2. Backend APIs'!A:A,"Backend Setup",'2. Backend APIs'!G:G)+SUMIF('2. Backend APIs'!A:A,"Auth",'2. Backend APIs'!G:G)+SUMIF('2. Backend APIs'!A:A,"Transcript API",'2. Backend APIs'!G:G)+SUMIF('2. Backend APIs'!A:A,"Task API",'2. Backend APIs'!G:G)+SUMIF('2. Backend APIs'!A:A,"Integration API",'2. Backend APIs'!G:G)</f>
        <v>270</v>
      </c>
    </row>
    <row r="8" customFormat="false" ht="15" hidden="false" customHeight="false" outlineLevel="0" collapsed="false">
      <c r="A8" s="0" t="s">
        <v>11</v>
      </c>
      <c r="B8" s="0" t="s">
        <v>12</v>
      </c>
      <c r="C8" s="0" t="n">
        <f aca="false">SUMIF('3. LLM &amp; Workers'!A:A,"LLM Setup",'3. LLM &amp; Workers'!G:G)+SUMIF('3. LLM &amp; Workers'!A:A,"Processing",'3. LLM &amp; Workers'!G:G)+SUMIF('3. LLM &amp; Workers'!A:A,"Extraction",'3. LLM &amp; Workers'!G:G)+SUMIF('3. LLM &amp; Workers'!A:A,"Parsing",'3. LLM &amp; Workers'!G:G)+SUMIF('3. LLM &amp; Workers'!A:A,"Error Handling",'3. LLM &amp; Workers'!G:G)</f>
        <v>256</v>
      </c>
    </row>
    <row r="9" customFormat="false" ht="15" hidden="false" customHeight="false" outlineLevel="0" collapsed="false">
      <c r="A9" s="0" t="s">
        <v>13</v>
      </c>
      <c r="B9" s="0" t="s">
        <v>14</v>
      </c>
      <c r="C9" s="0" t="n">
        <f aca="false">SUMIF('3. LLM &amp; Workers'!A:A,"Queue Setup",'3. LLM &amp; Workers'!G:G)+SUMIF('3. LLM &amp; Workers'!A:A,"Worker",'3. LLM &amp; Workers'!G:G)</f>
        <v>218</v>
      </c>
    </row>
    <row r="10" customFormat="false" ht="15" hidden="false" customHeight="false" outlineLevel="0" collapsed="false">
      <c r="A10" s="0" t="s">
        <v>15</v>
      </c>
      <c r="B10" s="0" t="s">
        <v>16</v>
      </c>
      <c r="C10" s="0" t="n">
        <f aca="false">SUMIF('4. Scheduling &amp; Integrations'!A:A,"Algorithm",'4. Scheduling &amp; Integrations'!G:G)+SUMIF('4. Scheduling &amp; Integrations'!A:A,"Calendar",'4. Scheduling &amp; Integrations'!G:G)+SUMIF('4. Scheduling &amp; Integrations'!A:A,"Edge Cases",'4. Scheduling &amp; Integrations'!G:G)</f>
        <v>238</v>
      </c>
    </row>
    <row r="11" customFormat="false" ht="15" hidden="false" customHeight="false" outlineLevel="0" collapsed="false">
      <c r="A11" s="0" t="s">
        <v>17</v>
      </c>
      <c r="B11" s="0" t="s">
        <v>12</v>
      </c>
      <c r="C11" s="0" t="n">
        <f aca="false">SUMIF('4. Scheduling &amp; Integrations'!A:A,"Google",'4. Scheduling &amp; Integrations'!G:G)+SUMIF('4. Scheduling &amp; Integrations'!A:A,"Slack",'4. Scheduling &amp; Integrations'!G:G)+SUMIF('4. Scheduling &amp; Integrations'!A:A,"Notion",'4. Scheduling &amp; Integrations'!G:G)+SUMIF('4. Scheduling &amp; Integrations'!A:A,"Linear",'4. Scheduling &amp; Integrations'!G:G)+SUMIF('4. Scheduling &amp; Integrations'!A:A,"Asana",'4. Scheduling &amp; Integrations'!G:G)</f>
        <v>218</v>
      </c>
    </row>
    <row r="12" customFormat="false" ht="15" hidden="false" customHeight="false" outlineLevel="0" collapsed="false">
      <c r="A12" s="0" t="s">
        <v>18</v>
      </c>
      <c r="B12" s="0" t="s">
        <v>19</v>
      </c>
      <c r="C12" s="0" t="n">
        <f aca="false">SUMIF('5. Frontend'!A:A,"Frontend Setup",'5. Frontend'!G:G)+SUMIF('5. Frontend'!A:A,"Auth Pages",'5. Frontend'!G:G)+SUMIF('5. Frontend'!A:A,"Dashboard",'5. Frontend'!G:G)+SUMIF('5. Frontend'!A:A,"Transcripts",'5. Frontend'!G:G)+SUMIF('5. Frontend'!A:A,"Task Review",'5. Frontend'!G:G)+SUMIF('5. Frontend'!A:A,"Scheduling",'5. Frontend'!G:G)+SUMIF('5. Frontend'!A:A,"Settings",'5. Frontend'!G:G)+SUMIF('5. Frontend'!A:A,"UX",'5. Frontend'!G:G)+SUMIF('5. Frontend'!A:A,"Responsive",'5. Frontend'!G:G)</f>
        <v>554</v>
      </c>
    </row>
    <row r="13" customFormat="false" ht="15" hidden="false" customHeight="false" outlineLevel="0" collapsed="false">
      <c r="A13" s="0" t="s">
        <v>20</v>
      </c>
      <c r="B13" s="0" t="s">
        <v>21</v>
      </c>
      <c r="C13" s="0" t="n">
        <f aca="false">SUMIF('6. Testing &amp; Analytics'!A:A,"Test Setup",'6. Testing &amp; Analytics'!G:G)+SUMIF('6. Testing &amp; Analytics'!A:A,"Backend Tests",'6. Testing &amp; Analytics'!G:G)+SUMIF('6. Testing &amp; Analytics'!A:A,"Frontend Tests",'6. Testing &amp; Analytics'!G:G)+SUMIF('6. Testing &amp; Analytics'!A:A,"Integration",'6. Testing &amp; Analytics'!G:G)+SUMIF('6. Testing &amp; Analytics'!A:A,"E2E",'6. Testing &amp; Analytics'!G:G)</f>
        <v>378</v>
      </c>
    </row>
    <row r="14" customFormat="false" ht="15" hidden="false" customHeight="false" outlineLevel="0" collapsed="false">
      <c r="A14" s="0" t="s">
        <v>22</v>
      </c>
      <c r="B14" s="0" t="s">
        <v>6</v>
      </c>
      <c r="C14" s="0" t="n">
        <f aca="false">SUMIF('6. Testing &amp; Analytics'!A:A,"Analytics",'6. Testing &amp; Analytics'!G:G)+SUMIF('6. Testing &amp; Analytics'!A:A,"Events",'6. Testing &amp; Analytics'!G:G)+SUMIF('6. Testing &amp; Analytics'!A:A,"Metrics",'6. Testing &amp; Analytics'!G:G)+SUMIF('6. Testing &amp; Analytics'!A:A,"Dashboards",'6. Testing &amp; Analytics'!G:G)</f>
        <v>134</v>
      </c>
    </row>
    <row r="15" customFormat="false" ht="15" hidden="false" customHeight="false" outlineLevel="0" collapsed="false">
      <c r="A15" s="0" t="s">
        <v>23</v>
      </c>
      <c r="B15" s="0" t="s">
        <v>16</v>
      </c>
      <c r="C15" s="0" t="n">
        <f aca="false">SUMIF('7. Security &amp; Documentation'!A:A,"Security",'7. Security &amp; Documentation'!G:G)+SUMIF('7. Security &amp; Documentation'!A:A,"Data Protection",'7. Security &amp; Documentation'!G:G)+SUMIF('7. Security &amp; Documentation'!A:A,"Auth Security",'7. Security &amp; Documentation'!G:G)+SUMIF('7. Security &amp; Documentation'!A:A,"Compliance",'7. Security &amp; Documentation'!G:G)</f>
        <v>224</v>
      </c>
    </row>
    <row r="16" customFormat="false" ht="15" hidden="false" customHeight="false" outlineLevel="0" collapsed="false">
      <c r="A16" s="0" t="s">
        <v>24</v>
      </c>
      <c r="B16" s="0" t="s">
        <v>25</v>
      </c>
      <c r="C16" s="0" t="n">
        <f aca="false">SUMIF('7. Security &amp; Documentation'!A:A,"API Docs",'7. Security &amp; Documentation'!G:G)+SUMIF('7. Security &amp; Documentation'!A:A,"Tech Docs",'7. Security &amp; Documentation'!G:G)+SUMIF('7. Security &amp; Documentation'!A:A,"User Docs",'7. Security &amp; Documentation'!G:G)+SUMIF('7. Security &amp; Documentation'!A:A,"Code Docs",'7. Security &amp; Documentation'!G:G)</f>
        <v>230</v>
      </c>
    </row>
    <row r="17" customFormat="false" ht="15" hidden="false" customHeight="false" outlineLevel="0" collapsed="false">
      <c r="A17" s="0" t="s">
        <v>26</v>
      </c>
      <c r="B17" s="0" t="s">
        <v>25</v>
      </c>
      <c r="C17" s="0" t="n">
        <f aca="false">SUMIF('8. Deploy &amp; Launch'!A:A,"Infrastructure",'8. Deploy &amp; Launch'!G:G)+SUMIF('8. Deploy &amp; Launch'!A:A,"Containers",'8. Deploy &amp; Launch'!G:G)+SUMIF('8. Deploy &amp; Launch'!A:A,"Automation",'8. Deploy &amp; Launch'!G:G)+SUMIF('8. Deploy &amp; Launch'!A:A,"Config",'8. Deploy &amp; Launch'!G:G)</f>
        <v>196</v>
      </c>
    </row>
    <row r="18" customFormat="false" ht="15" hidden="false" customHeight="false" outlineLevel="0" collapsed="false">
      <c r="A18" s="0" t="s">
        <v>27</v>
      </c>
      <c r="B18" s="0" t="s">
        <v>28</v>
      </c>
      <c r="C18" s="0" t="n">
        <f aca="false">SUMIF('8. Deploy &amp; Launch'!A:A,"Performance",'8. Deploy &amp; Launch'!G:G)+SUMIF('8. Deploy &amp; Launch'!A:A,"Scalability",'8. Deploy &amp; Launch'!G:G)</f>
        <v>158</v>
      </c>
    </row>
    <row r="19" customFormat="false" ht="15" hidden="false" customHeight="false" outlineLevel="0" collapsed="false">
      <c r="A19" s="0" t="s">
        <v>29</v>
      </c>
      <c r="B19" s="0" t="s">
        <v>6</v>
      </c>
      <c r="C19" s="0" t="n">
        <f aca="false">SUMIF('8. Deploy &amp; Launch'!A:A,"Pre-Launch",'8. Deploy &amp; Launch'!G:G)+SUMIF('8. Deploy &amp; Launch'!A:A,"Beta",'8. Deploy &amp; Launch'!G:G)+SUMIF('8. Deploy &amp; Launch'!A:A,"Launch",'8. Deploy &amp; Launch'!G:G)+SUMIF('8. Deploy &amp; Launch'!A:A,"Post-Launch",'8. Deploy &amp; Launch'!G:G)</f>
        <v>428</v>
      </c>
    </row>
    <row r="20" customFormat="false" ht="15" hidden="false" customHeight="false" outlineLevel="0" collapsed="false">
      <c r="A20" s="0" t="s">
        <v>30</v>
      </c>
      <c r="B20" s="0" t="s">
        <v>16</v>
      </c>
      <c r="C20" s="0" t="n">
        <f aca="false">SUMIF('9. Future Enhancements'!A:A,"Advanced",'9. Future Enhancements'!G:G)+SUMIF('9. Future Enhancements'!A:A,"Integrations",'9. Future Enhancements'!G:G)+SUMIF('9. Future Enhancements'!A:A,"Mobile",'9. Future Enhancements'!G:G)+SUMIF('9. Future Enhancements'!A:A,"AI/ML",'9. Future Enhancements'!G:G)</f>
        <v>1575</v>
      </c>
    </row>
    <row r="21" customFormat="false" ht="15" hidden="false" customHeight="false" outlineLevel="0" collapsed="false">
      <c r="A21" s="4"/>
      <c r="B21" s="4"/>
      <c r="C21" s="4"/>
    </row>
    <row r="22" customFormat="false" ht="15" hidden="false" customHeight="false" outlineLevel="0" collapsed="false">
      <c r="A22" s="0" t="s">
        <v>31</v>
      </c>
      <c r="B22" s="0" t="n">
        <f aca="false">SUM(B5:B20)</f>
        <v>0</v>
      </c>
      <c r="C22" s="0" t="n">
        <f aca="false">SUM(C5:C20)</f>
        <v>5290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3"/>
      <c r="B24" s="3"/>
    </row>
    <row r="25" customFormat="false" ht="15" hidden="false" customHeight="false" outlineLevel="0" collapsed="false">
      <c r="A25" s="0" t="s">
        <v>32</v>
      </c>
    </row>
    <row r="26" customFormat="false" ht="15" hidden="false" customHeight="false" outlineLevel="0" collapsed="false">
      <c r="A26" s="0" t="s">
        <v>33</v>
      </c>
      <c r="B26" s="0" t="s">
        <v>34</v>
      </c>
    </row>
    <row r="27" customFormat="false" ht="15" hidden="false" customHeight="false" outlineLevel="0" collapsed="false">
      <c r="A27" s="0" t="s">
        <v>35</v>
      </c>
      <c r="B27" s="0" t="s">
        <v>36</v>
      </c>
      <c r="C27" s="0" t="s">
        <v>37</v>
      </c>
    </row>
    <row r="28" customFormat="false" ht="15" hidden="false" customHeight="false" outlineLevel="0" collapsed="false">
      <c r="A28" s="0" t="s">
        <v>38</v>
      </c>
      <c r="B28" s="0" t="s">
        <v>39</v>
      </c>
      <c r="C28" s="0" t="s">
        <v>40</v>
      </c>
    </row>
    <row r="29" customFormat="false" ht="15" hidden="false" customHeight="false" outlineLevel="0" collapsed="false">
      <c r="A29" s="0" t="s">
        <v>41</v>
      </c>
      <c r="B29" s="0" t="s">
        <v>36</v>
      </c>
      <c r="C29" s="0" t="s">
        <v>42</v>
      </c>
    </row>
    <row r="30" customFormat="false" ht="15" hidden="false" customHeight="false" outlineLevel="0" collapsed="false">
      <c r="A30" s="0" t="s">
        <v>43</v>
      </c>
      <c r="B30" s="0" t="s">
        <v>44</v>
      </c>
      <c r="C30" s="0" t="s">
        <v>45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15" hidden="false" customHeight="false" outlineLevel="0" collapsed="false">
      <c r="A2" s="6" t="s">
        <v>54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23.85" hidden="false" customHeight="false" outlineLevel="0" collapsed="false">
      <c r="A3" s="7" t="s">
        <v>55</v>
      </c>
      <c r="B3" s="7" t="s">
        <v>56</v>
      </c>
      <c r="C3" s="7" t="s">
        <v>57</v>
      </c>
      <c r="D3" s="7" t="s">
        <v>58</v>
      </c>
      <c r="E3" s="7" t="s">
        <v>59</v>
      </c>
      <c r="F3" s="7" t="s">
        <v>38</v>
      </c>
      <c r="G3" s="7" t="n">
        <v>1</v>
      </c>
      <c r="H3" s="7"/>
      <c r="I3" s="7" t="s">
        <v>60</v>
      </c>
      <c r="J3" s="7" t="s">
        <v>61</v>
      </c>
    </row>
    <row r="4" customFormat="false" ht="23.85" hidden="false" customHeight="false" outlineLevel="0" collapsed="false">
      <c r="A4" s="7" t="s">
        <v>55</v>
      </c>
      <c r="B4" s="7" t="s">
        <v>62</v>
      </c>
      <c r="C4" s="7" t="s">
        <v>63</v>
      </c>
      <c r="D4" s="7" t="s">
        <v>64</v>
      </c>
      <c r="E4" s="7" t="s">
        <v>59</v>
      </c>
      <c r="F4" s="7" t="s">
        <v>38</v>
      </c>
      <c r="G4" s="7" t="n">
        <v>2</v>
      </c>
      <c r="H4" s="7" t="s">
        <v>56</v>
      </c>
      <c r="I4" s="7" t="s">
        <v>60</v>
      </c>
      <c r="J4" s="7" t="s">
        <v>65</v>
      </c>
    </row>
    <row r="5" customFormat="false" ht="23.85" hidden="false" customHeight="false" outlineLevel="0" collapsed="false">
      <c r="A5" s="7" t="s">
        <v>55</v>
      </c>
      <c r="B5" s="7" t="s">
        <v>66</v>
      </c>
      <c r="C5" s="7" t="s">
        <v>67</v>
      </c>
      <c r="D5" s="7" t="s">
        <v>68</v>
      </c>
      <c r="E5" s="7" t="s">
        <v>69</v>
      </c>
      <c r="F5" s="7" t="s">
        <v>38</v>
      </c>
      <c r="G5" s="7" t="n">
        <v>4</v>
      </c>
      <c r="H5" s="7" t="s">
        <v>56</v>
      </c>
      <c r="I5" s="7" t="s">
        <v>60</v>
      </c>
      <c r="J5" s="7" t="s">
        <v>70</v>
      </c>
    </row>
    <row r="6" customFormat="false" ht="23.85" hidden="false" customHeight="false" outlineLevel="0" collapsed="false">
      <c r="A6" s="7" t="s">
        <v>55</v>
      </c>
      <c r="B6" s="7" t="s">
        <v>71</v>
      </c>
      <c r="C6" s="7" t="s">
        <v>72</v>
      </c>
      <c r="D6" s="7" t="s">
        <v>73</v>
      </c>
      <c r="E6" s="7" t="s">
        <v>74</v>
      </c>
      <c r="F6" s="7" t="s">
        <v>38</v>
      </c>
      <c r="G6" s="7" t="n">
        <v>3</v>
      </c>
      <c r="H6" s="7" t="s">
        <v>62</v>
      </c>
      <c r="I6" s="7" t="s">
        <v>60</v>
      </c>
      <c r="J6" s="7" t="s">
        <v>75</v>
      </c>
    </row>
    <row r="7" customFormat="false" ht="23.85" hidden="false" customHeight="false" outlineLevel="0" collapsed="false">
      <c r="A7" s="7" t="s">
        <v>55</v>
      </c>
      <c r="B7" s="7" t="s">
        <v>76</v>
      </c>
      <c r="C7" s="7" t="s">
        <v>77</v>
      </c>
      <c r="D7" s="7" t="s">
        <v>78</v>
      </c>
      <c r="E7" s="7" t="s">
        <v>59</v>
      </c>
      <c r="F7" s="7" t="s">
        <v>38</v>
      </c>
      <c r="G7" s="7" t="n">
        <v>8</v>
      </c>
      <c r="H7" s="7" t="s">
        <v>62</v>
      </c>
      <c r="I7" s="7" t="s">
        <v>60</v>
      </c>
      <c r="J7" s="7" t="s">
        <v>79</v>
      </c>
    </row>
    <row r="8" customFormat="false" ht="15" hidden="false" customHeight="false" outlineLevel="0" collapsed="false">
      <c r="A8" s="6" t="s">
        <v>80</v>
      </c>
      <c r="B8" s="6"/>
      <c r="C8" s="6"/>
      <c r="D8" s="6"/>
      <c r="E8" s="6"/>
      <c r="F8" s="6"/>
      <c r="G8" s="6"/>
      <c r="H8" s="6"/>
      <c r="I8" s="6"/>
      <c r="J8" s="6"/>
    </row>
    <row r="9" customFormat="false" ht="15" hidden="false" customHeight="false" outlineLevel="0" collapsed="false">
      <c r="A9" s="7" t="s">
        <v>81</v>
      </c>
      <c r="B9" s="7" t="s">
        <v>82</v>
      </c>
      <c r="C9" s="7" t="s">
        <v>83</v>
      </c>
      <c r="D9" s="7" t="s">
        <v>84</v>
      </c>
      <c r="E9" s="7" t="s">
        <v>85</v>
      </c>
      <c r="F9" s="7" t="s">
        <v>41</v>
      </c>
      <c r="G9" s="7" t="n">
        <v>2</v>
      </c>
      <c r="H9" s="7" t="s">
        <v>56</v>
      </c>
      <c r="I9" s="7" t="s">
        <v>60</v>
      </c>
      <c r="J9" s="7"/>
    </row>
    <row r="10" customFormat="false" ht="15" hidden="false" customHeight="false" outlineLevel="0" collapsed="false">
      <c r="A10" s="7" t="s">
        <v>81</v>
      </c>
      <c r="B10" s="7" t="s">
        <v>86</v>
      </c>
      <c r="C10" s="7" t="s">
        <v>87</v>
      </c>
      <c r="D10" s="7" t="s">
        <v>88</v>
      </c>
      <c r="E10" s="7" t="s">
        <v>74</v>
      </c>
      <c r="F10" s="7" t="s">
        <v>41</v>
      </c>
      <c r="G10" s="7" t="n">
        <v>3</v>
      </c>
      <c r="H10" s="7" t="s">
        <v>56</v>
      </c>
      <c r="I10" s="7" t="s">
        <v>60</v>
      </c>
      <c r="J10" s="7"/>
    </row>
    <row r="11" customFormat="false" ht="15" hidden="false" customHeight="false" outlineLevel="0" collapsed="false">
      <c r="A11" s="7" t="s">
        <v>81</v>
      </c>
      <c r="B11" s="7" t="s">
        <v>89</v>
      </c>
      <c r="C11" s="7" t="s">
        <v>90</v>
      </c>
      <c r="D11" s="7" t="s">
        <v>91</v>
      </c>
      <c r="E11" s="7" t="s">
        <v>59</v>
      </c>
      <c r="F11" s="7" t="s">
        <v>41</v>
      </c>
      <c r="G11" s="7" t="n">
        <v>2</v>
      </c>
      <c r="H11" s="7" t="s">
        <v>92</v>
      </c>
      <c r="I11" s="7" t="s">
        <v>60</v>
      </c>
      <c r="J11" s="7"/>
    </row>
    <row r="12" customFormat="false" ht="15" hidden="false" customHeight="false" outlineLevel="0" collapsed="false">
      <c r="A12" s="7" t="s">
        <v>81</v>
      </c>
      <c r="B12" s="7" t="s">
        <v>93</v>
      </c>
      <c r="C12" s="7" t="s">
        <v>94</v>
      </c>
      <c r="D12" s="7" t="s">
        <v>95</v>
      </c>
      <c r="E12" s="7" t="s">
        <v>85</v>
      </c>
      <c r="F12" s="7" t="s">
        <v>38</v>
      </c>
      <c r="G12" s="7" t="n">
        <v>3</v>
      </c>
      <c r="H12" s="7" t="s">
        <v>62</v>
      </c>
      <c r="I12" s="7" t="s">
        <v>60</v>
      </c>
      <c r="J12" s="7" t="s">
        <v>96</v>
      </c>
    </row>
    <row r="13" customFormat="false" ht="23.85" hidden="false" customHeight="false" outlineLevel="0" collapsed="false">
      <c r="A13" s="7" t="s">
        <v>81</v>
      </c>
      <c r="B13" s="7" t="s">
        <v>97</v>
      </c>
      <c r="C13" s="7" t="s">
        <v>98</v>
      </c>
      <c r="D13" s="7" t="s">
        <v>99</v>
      </c>
      <c r="E13" s="7" t="s">
        <v>69</v>
      </c>
      <c r="F13" s="7" t="s">
        <v>43</v>
      </c>
      <c r="G13" s="7" t="n">
        <v>1</v>
      </c>
      <c r="H13" s="7" t="s">
        <v>56</v>
      </c>
      <c r="I13" s="7" t="s">
        <v>60</v>
      </c>
      <c r="J13" s="7" t="s">
        <v>100</v>
      </c>
    </row>
    <row r="14" customFormat="false" ht="15" hidden="false" customHeight="false" outlineLevel="0" collapsed="false">
      <c r="A14" s="6" t="s">
        <v>101</v>
      </c>
      <c r="B14" s="6"/>
      <c r="C14" s="6"/>
      <c r="D14" s="6"/>
      <c r="E14" s="6"/>
      <c r="F14" s="6"/>
      <c r="G14" s="6"/>
      <c r="H14" s="6"/>
      <c r="I14" s="6"/>
      <c r="J14" s="6"/>
    </row>
    <row r="15" customFormat="false" ht="23.85" hidden="false" customHeight="false" outlineLevel="0" collapsed="false">
      <c r="A15" s="7" t="s">
        <v>102</v>
      </c>
      <c r="B15" s="7" t="s">
        <v>103</v>
      </c>
      <c r="C15" s="7" t="s">
        <v>104</v>
      </c>
      <c r="D15" s="7" t="s">
        <v>105</v>
      </c>
      <c r="E15" s="7" t="s">
        <v>59</v>
      </c>
      <c r="F15" s="7" t="s">
        <v>38</v>
      </c>
      <c r="G15" s="7" t="n">
        <v>12</v>
      </c>
      <c r="H15" s="7" t="s">
        <v>56</v>
      </c>
      <c r="I15" s="7" t="s">
        <v>60</v>
      </c>
      <c r="J15" s="7" t="s">
        <v>106</v>
      </c>
    </row>
    <row r="16" customFormat="false" ht="15" hidden="false" customHeight="false" outlineLevel="0" collapsed="false">
      <c r="A16" s="7" t="s">
        <v>102</v>
      </c>
      <c r="B16" s="7" t="s">
        <v>107</v>
      </c>
      <c r="C16" s="7" t="s">
        <v>108</v>
      </c>
      <c r="D16" s="7" t="s">
        <v>109</v>
      </c>
      <c r="E16" s="7" t="s">
        <v>59</v>
      </c>
      <c r="F16" s="7" t="s">
        <v>38</v>
      </c>
      <c r="G16" s="7" t="n">
        <v>6</v>
      </c>
      <c r="H16" s="7" t="s">
        <v>103</v>
      </c>
      <c r="I16" s="7" t="s">
        <v>60</v>
      </c>
      <c r="J16" s="7" t="s">
        <v>110</v>
      </c>
    </row>
    <row r="17" customFormat="false" ht="15" hidden="false" customHeight="false" outlineLevel="0" collapsed="false">
      <c r="A17" s="7" t="s">
        <v>102</v>
      </c>
      <c r="B17" s="7" t="s">
        <v>111</v>
      </c>
      <c r="C17" s="7" t="s">
        <v>112</v>
      </c>
      <c r="D17" s="7" t="s">
        <v>113</v>
      </c>
      <c r="E17" s="7" t="s">
        <v>59</v>
      </c>
      <c r="F17" s="7" t="s">
        <v>38</v>
      </c>
      <c r="G17" s="7" t="n">
        <v>16</v>
      </c>
      <c r="H17" s="7" t="s">
        <v>103</v>
      </c>
      <c r="I17" s="7" t="s">
        <v>60</v>
      </c>
      <c r="J17" s="7" t="s">
        <v>114</v>
      </c>
    </row>
    <row r="18" customFormat="false" ht="15" hidden="false" customHeight="false" outlineLevel="0" collapsed="false">
      <c r="A18" s="7" t="s">
        <v>102</v>
      </c>
      <c r="B18" s="7" t="s">
        <v>115</v>
      </c>
      <c r="C18" s="7" t="s">
        <v>116</v>
      </c>
      <c r="D18" s="7" t="s">
        <v>117</v>
      </c>
      <c r="E18" s="7" t="s">
        <v>59</v>
      </c>
      <c r="F18" s="7" t="s">
        <v>38</v>
      </c>
      <c r="G18" s="7" t="n">
        <v>20</v>
      </c>
      <c r="H18" s="7" t="s">
        <v>111</v>
      </c>
      <c r="I18" s="7" t="s">
        <v>60</v>
      </c>
      <c r="J18" s="7" t="s">
        <v>118</v>
      </c>
    </row>
    <row r="19" customFormat="false" ht="15" hidden="false" customHeight="false" outlineLevel="0" collapsed="false">
      <c r="A19" s="7" t="s">
        <v>102</v>
      </c>
      <c r="B19" s="7" t="s">
        <v>119</v>
      </c>
      <c r="C19" s="7" t="s">
        <v>120</v>
      </c>
      <c r="D19" s="7" t="s">
        <v>121</v>
      </c>
      <c r="E19" s="7" t="s">
        <v>59</v>
      </c>
      <c r="F19" s="7" t="s">
        <v>35</v>
      </c>
      <c r="G19" s="7" t="n">
        <v>4</v>
      </c>
      <c r="H19" s="7" t="s">
        <v>103</v>
      </c>
      <c r="I19" s="7" t="s">
        <v>60</v>
      </c>
      <c r="J19" s="7" t="s">
        <v>122</v>
      </c>
    </row>
    <row r="20" customFormat="false" ht="23.85" hidden="false" customHeight="false" outlineLevel="0" collapsed="false">
      <c r="A20" s="6" t="s">
        <v>123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23.85" hidden="false" customHeight="false" outlineLevel="0" collapsed="false">
      <c r="A21" s="7" t="s">
        <v>124</v>
      </c>
      <c r="B21" s="7" t="s">
        <v>125</v>
      </c>
      <c r="C21" s="7" t="s">
        <v>126</v>
      </c>
      <c r="D21" s="7" t="s">
        <v>127</v>
      </c>
      <c r="E21" s="7" t="s">
        <v>74</v>
      </c>
      <c r="F21" s="7" t="s">
        <v>38</v>
      </c>
      <c r="G21" s="7" t="n">
        <v>6</v>
      </c>
      <c r="H21" s="7" t="s">
        <v>62</v>
      </c>
      <c r="I21" s="7" t="s">
        <v>60</v>
      </c>
      <c r="J21" s="7" t="s">
        <v>128</v>
      </c>
    </row>
    <row r="22" customFormat="false" ht="15" hidden="false" customHeight="false" outlineLevel="0" collapsed="false">
      <c r="A22" s="7" t="s">
        <v>124</v>
      </c>
      <c r="B22" s="7" t="s">
        <v>129</v>
      </c>
      <c r="C22" s="7" t="s">
        <v>130</v>
      </c>
      <c r="D22" s="7" t="s">
        <v>131</v>
      </c>
      <c r="E22" s="7" t="s">
        <v>59</v>
      </c>
      <c r="F22" s="7" t="s">
        <v>38</v>
      </c>
      <c r="G22" s="7" t="n">
        <v>8</v>
      </c>
      <c r="H22" s="7" t="s">
        <v>62</v>
      </c>
      <c r="I22" s="7" t="s">
        <v>60</v>
      </c>
      <c r="J22" s="7" t="s">
        <v>132</v>
      </c>
    </row>
    <row r="23" customFormat="false" ht="23.85" hidden="false" customHeight="false" outlineLevel="0" collapsed="false">
      <c r="A23" s="7" t="s">
        <v>124</v>
      </c>
      <c r="B23" s="7" t="s">
        <v>133</v>
      </c>
      <c r="C23" s="7" t="s">
        <v>134</v>
      </c>
      <c r="D23" s="7" t="s">
        <v>135</v>
      </c>
      <c r="E23" s="7" t="s">
        <v>59</v>
      </c>
      <c r="F23" s="7" t="s">
        <v>41</v>
      </c>
      <c r="G23" s="7" t="n">
        <v>10</v>
      </c>
      <c r="H23" s="7" t="s">
        <v>111</v>
      </c>
      <c r="I23" s="7" t="s">
        <v>60</v>
      </c>
      <c r="J23" s="7" t="s">
        <v>136</v>
      </c>
    </row>
    <row r="24" customFormat="false" ht="15" hidden="false" customHeight="false" outlineLevel="0" collapsed="false">
      <c r="A24" s="7" t="s">
        <v>124</v>
      </c>
      <c r="B24" s="7" t="s">
        <v>137</v>
      </c>
      <c r="C24" s="7" t="s">
        <v>138</v>
      </c>
      <c r="D24" s="7" t="s">
        <v>139</v>
      </c>
      <c r="E24" s="7" t="s">
        <v>74</v>
      </c>
      <c r="F24" s="7" t="s">
        <v>41</v>
      </c>
      <c r="G24" s="7" t="n">
        <v>4</v>
      </c>
      <c r="H24" s="7" t="s">
        <v>140</v>
      </c>
      <c r="I24" s="7" t="s">
        <v>60</v>
      </c>
      <c r="J24" s="7" t="s">
        <v>141</v>
      </c>
    </row>
    <row r="25" customFormat="false" ht="15" hidden="false" customHeight="false" outlineLevel="0" collapsed="false">
      <c r="A25" s="7" t="s">
        <v>124</v>
      </c>
      <c r="B25" s="7" t="s">
        <v>142</v>
      </c>
      <c r="C25" s="7" t="s">
        <v>143</v>
      </c>
      <c r="D25" s="7" t="s">
        <v>144</v>
      </c>
      <c r="E25" s="7" t="s">
        <v>59</v>
      </c>
      <c r="F25" s="7" t="s">
        <v>38</v>
      </c>
      <c r="G25" s="7" t="n">
        <v>4</v>
      </c>
      <c r="H25" s="7" t="s">
        <v>111</v>
      </c>
      <c r="I25" s="7" t="s">
        <v>60</v>
      </c>
      <c r="J25" s="7" t="s">
        <v>145</v>
      </c>
    </row>
    <row r="26" customFormat="false" ht="15" hidden="false" customHeight="false" outlineLevel="0" collapsed="false">
      <c r="A26" s="6" t="s">
        <v>146</v>
      </c>
      <c r="B26" s="6"/>
      <c r="C26" s="6"/>
      <c r="D26" s="6"/>
      <c r="E26" s="6"/>
      <c r="F26" s="6"/>
      <c r="G26" s="6"/>
      <c r="H26" s="6"/>
      <c r="I26" s="6"/>
      <c r="J26" s="6"/>
    </row>
    <row r="27" customFormat="false" ht="23.85" hidden="false" customHeight="false" outlineLevel="0" collapsed="false">
      <c r="A27" s="7" t="s">
        <v>147</v>
      </c>
      <c r="B27" s="7" t="s">
        <v>148</v>
      </c>
      <c r="C27" s="7" t="s">
        <v>149</v>
      </c>
      <c r="D27" s="7" t="s">
        <v>150</v>
      </c>
      <c r="E27" s="7" t="s">
        <v>74</v>
      </c>
      <c r="F27" s="7" t="s">
        <v>35</v>
      </c>
      <c r="G27" s="7" t="n">
        <v>12</v>
      </c>
      <c r="H27" s="7"/>
      <c r="I27" s="7" t="s">
        <v>60</v>
      </c>
      <c r="J27" s="7" t="s">
        <v>151</v>
      </c>
    </row>
    <row r="28" customFormat="false" ht="23.85" hidden="false" customHeight="false" outlineLevel="0" collapsed="false">
      <c r="A28" s="7" t="s">
        <v>147</v>
      </c>
      <c r="B28" s="7" t="s">
        <v>152</v>
      </c>
      <c r="C28" s="7" t="s">
        <v>153</v>
      </c>
      <c r="D28" s="7" t="s">
        <v>154</v>
      </c>
      <c r="E28" s="7" t="s">
        <v>74</v>
      </c>
      <c r="F28" s="7" t="s">
        <v>35</v>
      </c>
      <c r="G28" s="7" t="n">
        <v>4</v>
      </c>
      <c r="H28" s="7" t="s">
        <v>148</v>
      </c>
      <c r="I28" s="7" t="s">
        <v>60</v>
      </c>
      <c r="J28" s="7" t="s">
        <v>155</v>
      </c>
    </row>
    <row r="29" customFormat="false" ht="23.85" hidden="false" customHeight="false" outlineLevel="0" collapsed="false">
      <c r="A29" s="7" t="s">
        <v>147</v>
      </c>
      <c r="B29" s="7" t="s">
        <v>156</v>
      </c>
      <c r="C29" s="7" t="s">
        <v>157</v>
      </c>
      <c r="D29" s="7" t="s">
        <v>158</v>
      </c>
      <c r="E29" s="7" t="s">
        <v>74</v>
      </c>
      <c r="F29" s="7" t="s">
        <v>35</v>
      </c>
      <c r="G29" s="7" t="n">
        <v>4</v>
      </c>
      <c r="H29" s="7" t="s">
        <v>148</v>
      </c>
      <c r="I29" s="7" t="s">
        <v>60</v>
      </c>
      <c r="J29" s="7" t="s">
        <v>159</v>
      </c>
    </row>
    <row r="30" customFormat="false" ht="35.05" hidden="false" customHeight="false" outlineLevel="0" collapsed="false">
      <c r="A30" s="7" t="s">
        <v>147</v>
      </c>
      <c r="B30" s="7" t="s">
        <v>140</v>
      </c>
      <c r="C30" s="7" t="s">
        <v>160</v>
      </c>
      <c r="D30" s="7" t="s">
        <v>161</v>
      </c>
      <c r="E30" s="7" t="s">
        <v>74</v>
      </c>
      <c r="F30" s="7" t="s">
        <v>35</v>
      </c>
      <c r="G30" s="7" t="n">
        <v>6</v>
      </c>
      <c r="H30" s="7" t="s">
        <v>148</v>
      </c>
      <c r="I30" s="7" t="s">
        <v>60</v>
      </c>
      <c r="J30" s="7" t="s">
        <v>162</v>
      </c>
    </row>
    <row r="31" customFormat="false" ht="23.85" hidden="false" customHeight="false" outlineLevel="0" collapsed="false">
      <c r="A31" s="7" t="s">
        <v>147</v>
      </c>
      <c r="B31" s="7" t="s">
        <v>163</v>
      </c>
      <c r="C31" s="7" t="s">
        <v>164</v>
      </c>
      <c r="D31" s="7" t="s">
        <v>165</v>
      </c>
      <c r="E31" s="7" t="s">
        <v>74</v>
      </c>
      <c r="F31" s="7" t="s">
        <v>35</v>
      </c>
      <c r="G31" s="7" t="n">
        <v>4</v>
      </c>
      <c r="H31" s="7" t="s">
        <v>148</v>
      </c>
      <c r="I31" s="7" t="s">
        <v>60</v>
      </c>
      <c r="J31" s="7" t="s">
        <v>166</v>
      </c>
    </row>
    <row r="32" customFormat="false" ht="23.85" hidden="false" customHeight="false" outlineLevel="0" collapsed="false">
      <c r="A32" s="7" t="s">
        <v>147</v>
      </c>
      <c r="B32" s="7" t="s">
        <v>167</v>
      </c>
      <c r="C32" s="7" t="s">
        <v>168</v>
      </c>
      <c r="D32" s="7" t="s">
        <v>169</v>
      </c>
      <c r="E32" s="7" t="s">
        <v>74</v>
      </c>
      <c r="F32" s="7" t="s">
        <v>38</v>
      </c>
      <c r="G32" s="7" t="n">
        <v>4</v>
      </c>
      <c r="H32" s="7" t="s">
        <v>148</v>
      </c>
      <c r="I32" s="7" t="s">
        <v>60</v>
      </c>
      <c r="J32" s="7" t="s">
        <v>170</v>
      </c>
    </row>
    <row r="33" customFormat="false" ht="15" hidden="false" customHeight="false" outlineLevel="0" collapsed="false">
      <c r="A33" s="6" t="s">
        <v>171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23.85" hidden="false" customHeight="false" outlineLevel="0" collapsed="false">
      <c r="A34" s="7" t="s">
        <v>172</v>
      </c>
      <c r="B34" s="7" t="s">
        <v>173</v>
      </c>
      <c r="C34" s="7" t="s">
        <v>174</v>
      </c>
      <c r="D34" s="7" t="s">
        <v>175</v>
      </c>
      <c r="E34" s="7" t="s">
        <v>59</v>
      </c>
      <c r="F34" s="7" t="s">
        <v>35</v>
      </c>
      <c r="G34" s="7" t="n">
        <v>8</v>
      </c>
      <c r="H34" s="7" t="s">
        <v>148</v>
      </c>
      <c r="I34" s="7" t="s">
        <v>60</v>
      </c>
      <c r="J34" s="7" t="s">
        <v>176</v>
      </c>
    </row>
    <row r="35" customFormat="false" ht="23.85" hidden="false" customHeight="false" outlineLevel="0" collapsed="false">
      <c r="A35" s="7" t="s">
        <v>172</v>
      </c>
      <c r="B35" s="7" t="s">
        <v>177</v>
      </c>
      <c r="C35" s="7" t="s">
        <v>178</v>
      </c>
      <c r="D35" s="7" t="s">
        <v>179</v>
      </c>
      <c r="E35" s="7" t="s">
        <v>74</v>
      </c>
      <c r="F35" s="7" t="s">
        <v>35</v>
      </c>
      <c r="G35" s="7" t="n">
        <v>8</v>
      </c>
      <c r="H35" s="7" t="s">
        <v>173</v>
      </c>
      <c r="I35" s="7" t="s">
        <v>60</v>
      </c>
      <c r="J35" s="7" t="s">
        <v>180</v>
      </c>
    </row>
    <row r="36" customFormat="false" ht="23.85" hidden="false" customHeight="false" outlineLevel="0" collapsed="false">
      <c r="A36" s="7" t="s">
        <v>172</v>
      </c>
      <c r="B36" s="7" t="s">
        <v>181</v>
      </c>
      <c r="C36" s="7" t="s">
        <v>182</v>
      </c>
      <c r="D36" s="7" t="s">
        <v>183</v>
      </c>
      <c r="E36" s="7" t="s">
        <v>74</v>
      </c>
      <c r="F36" s="7" t="s">
        <v>38</v>
      </c>
      <c r="G36" s="7" t="n">
        <v>6</v>
      </c>
      <c r="H36" s="7" t="s">
        <v>177</v>
      </c>
      <c r="I36" s="7" t="s">
        <v>60</v>
      </c>
      <c r="J36" s="7" t="s">
        <v>184</v>
      </c>
    </row>
    <row r="37" customFormat="false" ht="15" hidden="false" customHeight="false" outlineLevel="0" collapsed="false">
      <c r="A37" s="7" t="s">
        <v>172</v>
      </c>
      <c r="B37" s="7" t="s">
        <v>185</v>
      </c>
      <c r="C37" s="7" t="s">
        <v>186</v>
      </c>
      <c r="D37" s="7" t="s">
        <v>187</v>
      </c>
      <c r="E37" s="7" t="s">
        <v>59</v>
      </c>
      <c r="F37" s="7" t="s">
        <v>35</v>
      </c>
      <c r="G37" s="7" t="n">
        <v>6</v>
      </c>
      <c r="H37" s="7" t="s">
        <v>173</v>
      </c>
      <c r="I37" s="7" t="s">
        <v>60</v>
      </c>
      <c r="J37" s="7" t="s">
        <v>188</v>
      </c>
    </row>
    <row r="38" customFormat="false" ht="15" hidden="false" customHeight="false" outlineLevel="0" collapsed="false">
      <c r="A38" s="7" t="s">
        <v>172</v>
      </c>
      <c r="B38" s="7" t="s">
        <v>189</v>
      </c>
      <c r="C38" s="7" t="s">
        <v>190</v>
      </c>
      <c r="D38" s="7" t="s">
        <v>191</v>
      </c>
      <c r="E38" s="7" t="s">
        <v>74</v>
      </c>
      <c r="F38" s="7" t="s">
        <v>38</v>
      </c>
      <c r="G38" s="7" t="n">
        <v>4</v>
      </c>
      <c r="H38" s="7" t="s">
        <v>173</v>
      </c>
      <c r="I38" s="7" t="s">
        <v>60</v>
      </c>
      <c r="J38" s="7" t="s">
        <v>192</v>
      </c>
    </row>
    <row r="39" customFormat="false" ht="15" hidden="false" customHeight="false" outlineLevel="0" collapsed="false">
      <c r="A39" s="7" t="s">
        <v>172</v>
      </c>
      <c r="B39" s="7" t="s">
        <v>193</v>
      </c>
      <c r="C39" s="7" t="s">
        <v>194</v>
      </c>
      <c r="D39" s="7" t="s">
        <v>195</v>
      </c>
      <c r="E39" s="7" t="s">
        <v>59</v>
      </c>
      <c r="F39" s="7" t="s">
        <v>41</v>
      </c>
      <c r="G39" s="7" t="n">
        <v>12</v>
      </c>
      <c r="H39" s="7" t="s">
        <v>173</v>
      </c>
      <c r="I39" s="7" t="s">
        <v>60</v>
      </c>
      <c r="J39" s="7" t="s">
        <v>196</v>
      </c>
    </row>
    <row r="40" customFormat="false" ht="15" hidden="false" customHeight="false" outlineLevel="0" collapsed="false">
      <c r="A40" s="6" t="s">
        <v>197</v>
      </c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7" t="s">
        <v>198</v>
      </c>
      <c r="B41" s="7" t="s">
        <v>199</v>
      </c>
      <c r="C41" s="7" t="s">
        <v>200</v>
      </c>
      <c r="D41" s="7" t="s">
        <v>201</v>
      </c>
      <c r="E41" s="7" t="s">
        <v>59</v>
      </c>
      <c r="F41" s="7" t="s">
        <v>38</v>
      </c>
      <c r="G41" s="7" t="n">
        <v>6</v>
      </c>
      <c r="H41" s="7"/>
      <c r="I41" s="7" t="s">
        <v>60</v>
      </c>
      <c r="J41" s="7" t="s">
        <v>202</v>
      </c>
    </row>
    <row r="42" customFormat="false" ht="15" hidden="false" customHeight="false" outlineLevel="0" collapsed="false">
      <c r="A42" s="7" t="s">
        <v>198</v>
      </c>
      <c r="B42" s="7" t="s">
        <v>203</v>
      </c>
      <c r="C42" s="7" t="s">
        <v>204</v>
      </c>
      <c r="D42" s="7" t="s">
        <v>205</v>
      </c>
      <c r="E42" s="7" t="s">
        <v>59</v>
      </c>
      <c r="F42" s="7" t="s">
        <v>38</v>
      </c>
      <c r="G42" s="7" t="n">
        <v>6</v>
      </c>
      <c r="H42" s="7"/>
      <c r="I42" s="7" t="s">
        <v>60</v>
      </c>
      <c r="J42" s="7" t="s">
        <v>206</v>
      </c>
    </row>
    <row r="43" customFormat="false" ht="15" hidden="false" customHeight="false" outlineLevel="0" collapsed="false">
      <c r="A43" s="7" t="s">
        <v>198</v>
      </c>
      <c r="B43" s="7" t="s">
        <v>207</v>
      </c>
      <c r="C43" s="7" t="s">
        <v>208</v>
      </c>
      <c r="D43" s="7" t="s">
        <v>209</v>
      </c>
      <c r="E43" s="7" t="s">
        <v>59</v>
      </c>
      <c r="F43" s="7" t="s">
        <v>38</v>
      </c>
      <c r="G43" s="7" t="n">
        <v>4</v>
      </c>
      <c r="H43" s="7" t="s">
        <v>203</v>
      </c>
      <c r="I43" s="7" t="s">
        <v>60</v>
      </c>
      <c r="J43" s="7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23.85" hidden="false" customHeight="false" outlineLevel="0" collapsed="false">
      <c r="A2" s="6" t="s">
        <v>211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23.85" hidden="false" customHeight="false" outlineLevel="0" collapsed="false">
      <c r="A3" s="7" t="s">
        <v>212</v>
      </c>
      <c r="B3" s="7" t="s">
        <v>213</v>
      </c>
      <c r="C3" s="7" t="s">
        <v>214</v>
      </c>
      <c r="D3" s="7" t="s">
        <v>215</v>
      </c>
      <c r="E3" s="7" t="s">
        <v>74</v>
      </c>
      <c r="F3" s="7" t="s">
        <v>35</v>
      </c>
      <c r="G3" s="7" t="n">
        <v>8</v>
      </c>
      <c r="H3" s="7" t="s">
        <v>62</v>
      </c>
      <c r="I3" s="7" t="s">
        <v>60</v>
      </c>
      <c r="J3" s="7" t="s">
        <v>216</v>
      </c>
    </row>
    <row r="4" customFormat="false" ht="15" hidden="false" customHeight="false" outlineLevel="0" collapsed="false">
      <c r="A4" s="7" t="s">
        <v>212</v>
      </c>
      <c r="B4" s="7" t="s">
        <v>217</v>
      </c>
      <c r="C4" s="7" t="s">
        <v>218</v>
      </c>
      <c r="D4" s="7" t="s">
        <v>219</v>
      </c>
      <c r="E4" s="7" t="s">
        <v>74</v>
      </c>
      <c r="F4" s="7" t="s">
        <v>35</v>
      </c>
      <c r="G4" s="7" t="n">
        <v>8</v>
      </c>
      <c r="H4" s="7" t="s">
        <v>220</v>
      </c>
      <c r="I4" s="7" t="s">
        <v>60</v>
      </c>
      <c r="J4" s="7"/>
    </row>
    <row r="5" customFormat="false" ht="15" hidden="false" customHeight="false" outlineLevel="0" collapsed="false">
      <c r="A5" s="7" t="s">
        <v>212</v>
      </c>
      <c r="B5" s="7" t="s">
        <v>221</v>
      </c>
      <c r="C5" s="7" t="s">
        <v>222</v>
      </c>
      <c r="D5" s="7" t="s">
        <v>223</v>
      </c>
      <c r="E5" s="7" t="s">
        <v>74</v>
      </c>
      <c r="F5" s="7" t="s">
        <v>35</v>
      </c>
      <c r="G5" s="7" t="n">
        <v>12</v>
      </c>
      <c r="H5" s="7" t="s">
        <v>224</v>
      </c>
      <c r="I5" s="7" t="s">
        <v>60</v>
      </c>
      <c r="J5" s="7" t="s">
        <v>225</v>
      </c>
    </row>
    <row r="6" customFormat="false" ht="23.85" hidden="false" customHeight="false" outlineLevel="0" collapsed="false">
      <c r="A6" s="7" t="s">
        <v>212</v>
      </c>
      <c r="B6" s="7" t="s">
        <v>226</v>
      </c>
      <c r="C6" s="7" t="s">
        <v>227</v>
      </c>
      <c r="D6" s="7" t="s">
        <v>228</v>
      </c>
      <c r="E6" s="7" t="s">
        <v>74</v>
      </c>
      <c r="F6" s="7" t="s">
        <v>38</v>
      </c>
      <c r="G6" s="7" t="n">
        <v>6</v>
      </c>
      <c r="H6" s="7" t="s">
        <v>213</v>
      </c>
      <c r="I6" s="7" t="s">
        <v>60</v>
      </c>
      <c r="J6" s="7" t="s">
        <v>229</v>
      </c>
    </row>
    <row r="7" customFormat="false" ht="15" hidden="false" customHeight="false" outlineLevel="0" collapsed="false">
      <c r="A7" s="7" t="s">
        <v>212</v>
      </c>
      <c r="B7" s="7" t="s">
        <v>230</v>
      </c>
      <c r="C7" s="7" t="s">
        <v>231</v>
      </c>
      <c r="D7" s="7" t="s">
        <v>232</v>
      </c>
      <c r="E7" s="7" t="s">
        <v>74</v>
      </c>
      <c r="F7" s="7" t="s">
        <v>38</v>
      </c>
      <c r="G7" s="7" t="n">
        <v>12</v>
      </c>
      <c r="H7" s="7" t="s">
        <v>226</v>
      </c>
      <c r="I7" s="7" t="s">
        <v>60</v>
      </c>
      <c r="J7" s="7" t="s">
        <v>233</v>
      </c>
    </row>
    <row r="8" customFormat="false" ht="15" hidden="false" customHeight="false" outlineLevel="0" collapsed="false">
      <c r="A8" s="7" t="s">
        <v>212</v>
      </c>
      <c r="B8" s="7" t="s">
        <v>234</v>
      </c>
      <c r="C8" s="7" t="s">
        <v>235</v>
      </c>
      <c r="D8" s="7" t="s">
        <v>236</v>
      </c>
      <c r="E8" s="7" t="s">
        <v>74</v>
      </c>
      <c r="F8" s="7" t="s">
        <v>38</v>
      </c>
      <c r="G8" s="7" t="n">
        <v>2</v>
      </c>
      <c r="H8" s="7" t="s">
        <v>213</v>
      </c>
      <c r="I8" s="7" t="s">
        <v>60</v>
      </c>
      <c r="J8" s="7" t="s">
        <v>237</v>
      </c>
    </row>
    <row r="9" customFormat="false" ht="15" hidden="false" customHeight="false" outlineLevel="0" collapsed="false">
      <c r="A9" s="7" t="s">
        <v>212</v>
      </c>
      <c r="B9" s="7" t="s">
        <v>238</v>
      </c>
      <c r="C9" s="7" t="s">
        <v>239</v>
      </c>
      <c r="D9" s="7" t="s">
        <v>240</v>
      </c>
      <c r="E9" s="7" t="s">
        <v>74</v>
      </c>
      <c r="F9" s="7" t="s">
        <v>38</v>
      </c>
      <c r="G9" s="7" t="n">
        <v>6</v>
      </c>
      <c r="H9" s="7" t="s">
        <v>213</v>
      </c>
      <c r="I9" s="7" t="s">
        <v>60</v>
      </c>
      <c r="J9" s="7" t="s">
        <v>241</v>
      </c>
    </row>
    <row r="10" customFormat="false" ht="15" hidden="false" customHeight="false" outlineLevel="0" collapsed="false">
      <c r="A10" s="7" t="s">
        <v>212</v>
      </c>
      <c r="B10" s="7" t="s">
        <v>242</v>
      </c>
      <c r="C10" s="7" t="s">
        <v>243</v>
      </c>
      <c r="D10" s="7" t="s">
        <v>244</v>
      </c>
      <c r="E10" s="7" t="s">
        <v>74</v>
      </c>
      <c r="F10" s="7" t="s">
        <v>41</v>
      </c>
      <c r="G10" s="7" t="n">
        <v>4</v>
      </c>
      <c r="H10" s="7" t="s">
        <v>245</v>
      </c>
      <c r="I10" s="7" t="s">
        <v>60</v>
      </c>
      <c r="J10" s="7"/>
    </row>
    <row r="11" customFormat="false" ht="23.85" hidden="false" customHeight="false" outlineLevel="0" collapsed="false">
      <c r="A11" s="6" t="s">
        <v>246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7" t="s">
        <v>247</v>
      </c>
      <c r="B12" s="7" t="s">
        <v>248</v>
      </c>
      <c r="C12" s="7" t="s">
        <v>249</v>
      </c>
      <c r="D12" s="7" t="s">
        <v>250</v>
      </c>
      <c r="E12" s="7" t="s">
        <v>69</v>
      </c>
      <c r="F12" s="7" t="s">
        <v>35</v>
      </c>
      <c r="G12" s="7" t="n">
        <v>6</v>
      </c>
      <c r="H12" s="7"/>
      <c r="I12" s="7" t="s">
        <v>60</v>
      </c>
      <c r="J12" s="7" t="s">
        <v>251</v>
      </c>
    </row>
    <row r="13" customFormat="false" ht="15" hidden="false" customHeight="false" outlineLevel="0" collapsed="false">
      <c r="A13" s="7" t="s">
        <v>247</v>
      </c>
      <c r="B13" s="7" t="s">
        <v>252</v>
      </c>
      <c r="C13" s="7" t="s">
        <v>253</v>
      </c>
      <c r="D13" s="7" t="s">
        <v>254</v>
      </c>
      <c r="E13" s="7" t="s">
        <v>74</v>
      </c>
      <c r="F13" s="7" t="s">
        <v>38</v>
      </c>
      <c r="G13" s="7" t="n">
        <v>8</v>
      </c>
      <c r="H13" s="7" t="s">
        <v>255</v>
      </c>
      <c r="I13" s="7" t="s">
        <v>60</v>
      </c>
      <c r="J13" s="7" t="s">
        <v>256</v>
      </c>
    </row>
    <row r="14" customFormat="false" ht="15" hidden="false" customHeight="false" outlineLevel="0" collapsed="false">
      <c r="A14" s="7" t="s">
        <v>247</v>
      </c>
      <c r="B14" s="7" t="s">
        <v>257</v>
      </c>
      <c r="C14" s="7" t="s">
        <v>258</v>
      </c>
      <c r="D14" s="7" t="s">
        <v>259</v>
      </c>
      <c r="E14" s="7" t="s">
        <v>74</v>
      </c>
      <c r="F14" s="7" t="s">
        <v>38</v>
      </c>
      <c r="G14" s="7" t="n">
        <v>8</v>
      </c>
      <c r="H14" s="7" t="s">
        <v>252</v>
      </c>
      <c r="I14" s="7" t="s">
        <v>60</v>
      </c>
      <c r="J14" s="7" t="s">
        <v>260</v>
      </c>
    </row>
    <row r="15" customFormat="false" ht="15" hidden="false" customHeight="false" outlineLevel="0" collapsed="false">
      <c r="A15" s="7" t="s">
        <v>247</v>
      </c>
      <c r="B15" s="7" t="s">
        <v>261</v>
      </c>
      <c r="C15" s="7" t="s">
        <v>262</v>
      </c>
      <c r="D15" s="7" t="s">
        <v>263</v>
      </c>
      <c r="E15" s="7" t="s">
        <v>74</v>
      </c>
      <c r="F15" s="7" t="s">
        <v>41</v>
      </c>
      <c r="G15" s="7" t="n">
        <v>4</v>
      </c>
      <c r="H15" s="7" t="s">
        <v>257</v>
      </c>
      <c r="I15" s="7" t="s">
        <v>60</v>
      </c>
      <c r="J15" s="7"/>
    </row>
    <row r="16" customFormat="false" ht="15" hidden="false" customHeight="false" outlineLevel="0" collapsed="false">
      <c r="A16" s="7" t="s">
        <v>247</v>
      </c>
      <c r="B16" s="7" t="s">
        <v>264</v>
      </c>
      <c r="C16" s="7" t="s">
        <v>265</v>
      </c>
      <c r="D16" s="7" t="s">
        <v>266</v>
      </c>
      <c r="E16" s="7" t="s">
        <v>74</v>
      </c>
      <c r="F16" s="7" t="s">
        <v>41</v>
      </c>
      <c r="G16" s="7" t="n">
        <v>12</v>
      </c>
      <c r="H16" s="7" t="s">
        <v>257</v>
      </c>
      <c r="I16" s="7" t="s">
        <v>60</v>
      </c>
      <c r="J16" s="7" t="s">
        <v>267</v>
      </c>
    </row>
    <row r="17" customFormat="false" ht="15" hidden="false" customHeight="false" outlineLevel="0" collapsed="false">
      <c r="A17" s="7" t="s">
        <v>247</v>
      </c>
      <c r="B17" s="7" t="s">
        <v>268</v>
      </c>
      <c r="C17" s="7" t="s">
        <v>269</v>
      </c>
      <c r="D17" s="7" t="s">
        <v>270</v>
      </c>
      <c r="E17" s="7" t="s">
        <v>74</v>
      </c>
      <c r="F17" s="7" t="s">
        <v>35</v>
      </c>
      <c r="G17" s="7" t="n">
        <v>8</v>
      </c>
      <c r="H17" s="7" t="s">
        <v>257</v>
      </c>
      <c r="I17" s="7" t="s">
        <v>60</v>
      </c>
      <c r="J17" s="7"/>
    </row>
    <row r="18" customFormat="false" ht="15" hidden="false" customHeight="false" outlineLevel="0" collapsed="false">
      <c r="A18" s="7" t="s">
        <v>247</v>
      </c>
      <c r="B18" s="7" t="s">
        <v>271</v>
      </c>
      <c r="C18" s="7" t="s">
        <v>272</v>
      </c>
      <c r="D18" s="7" t="s">
        <v>273</v>
      </c>
      <c r="E18" s="7" t="s">
        <v>74</v>
      </c>
      <c r="F18" s="7" t="s">
        <v>41</v>
      </c>
      <c r="G18" s="7" t="n">
        <v>10</v>
      </c>
      <c r="H18" s="7" t="s">
        <v>268</v>
      </c>
      <c r="I18" s="7" t="s">
        <v>60</v>
      </c>
      <c r="J18" s="7" t="s">
        <v>274</v>
      </c>
    </row>
    <row r="19" customFormat="false" ht="15" hidden="false" customHeight="false" outlineLevel="0" collapsed="false">
      <c r="A19" s="7" t="s">
        <v>247</v>
      </c>
      <c r="B19" s="7" t="s">
        <v>275</v>
      </c>
      <c r="C19" s="7" t="s">
        <v>276</v>
      </c>
      <c r="D19" s="7" t="s">
        <v>277</v>
      </c>
      <c r="E19" s="7" t="s">
        <v>74</v>
      </c>
      <c r="F19" s="7" t="s">
        <v>35</v>
      </c>
      <c r="G19" s="7" t="n">
        <v>16</v>
      </c>
      <c r="H19" s="7" t="s">
        <v>257</v>
      </c>
      <c r="I19" s="7" t="s">
        <v>60</v>
      </c>
      <c r="J19" s="7" t="s">
        <v>278</v>
      </c>
    </row>
    <row r="20" customFormat="false" ht="15" hidden="false" customHeight="false" outlineLevel="0" collapsed="false">
      <c r="A20" s="7" t="s">
        <v>247</v>
      </c>
      <c r="B20" s="7" t="s">
        <v>279</v>
      </c>
      <c r="C20" s="7" t="s">
        <v>280</v>
      </c>
      <c r="D20" s="7" t="s">
        <v>281</v>
      </c>
      <c r="E20" s="7" t="s">
        <v>74</v>
      </c>
      <c r="F20" s="7" t="s">
        <v>38</v>
      </c>
      <c r="G20" s="7" t="n">
        <v>8</v>
      </c>
      <c r="H20" s="7" t="s">
        <v>275</v>
      </c>
      <c r="I20" s="7" t="s">
        <v>60</v>
      </c>
      <c r="J20" s="7" t="s">
        <v>282</v>
      </c>
    </row>
    <row r="21" customFormat="false" ht="15" hidden="false" customHeight="false" outlineLevel="0" collapsed="false">
      <c r="A21" s="6" t="s">
        <v>283</v>
      </c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5" hidden="false" customHeight="false" outlineLevel="0" collapsed="false">
      <c r="A22" s="7" t="s">
        <v>284</v>
      </c>
      <c r="B22" s="7" t="s">
        <v>285</v>
      </c>
      <c r="C22" s="7" t="s">
        <v>286</v>
      </c>
      <c r="D22" s="7" t="s">
        <v>287</v>
      </c>
      <c r="E22" s="7" t="s">
        <v>74</v>
      </c>
      <c r="F22" s="7" t="s">
        <v>35</v>
      </c>
      <c r="G22" s="7" t="n">
        <v>12</v>
      </c>
      <c r="H22" s="7" t="s">
        <v>288</v>
      </c>
      <c r="I22" s="7" t="s">
        <v>60</v>
      </c>
      <c r="J22" s="7" t="s">
        <v>289</v>
      </c>
    </row>
    <row r="23" customFormat="false" ht="15" hidden="false" customHeight="false" outlineLevel="0" collapsed="false">
      <c r="A23" s="7" t="s">
        <v>284</v>
      </c>
      <c r="B23" s="7" t="s">
        <v>290</v>
      </c>
      <c r="C23" s="7" t="s">
        <v>291</v>
      </c>
      <c r="D23" s="7" t="s">
        <v>292</v>
      </c>
      <c r="E23" s="7" t="s">
        <v>74</v>
      </c>
      <c r="F23" s="7" t="s">
        <v>38</v>
      </c>
      <c r="G23" s="7" t="n">
        <v>6</v>
      </c>
      <c r="H23" s="7" t="s">
        <v>285</v>
      </c>
      <c r="I23" s="7" t="s">
        <v>60</v>
      </c>
      <c r="J23" s="7" t="s">
        <v>293</v>
      </c>
    </row>
    <row r="24" customFormat="false" ht="15" hidden="false" customHeight="false" outlineLevel="0" collapsed="false">
      <c r="A24" s="7" t="s">
        <v>284</v>
      </c>
      <c r="B24" s="7" t="s">
        <v>294</v>
      </c>
      <c r="C24" s="7" t="s">
        <v>295</v>
      </c>
      <c r="D24" s="7" t="s">
        <v>296</v>
      </c>
      <c r="E24" s="7" t="s">
        <v>74</v>
      </c>
      <c r="F24" s="7" t="s">
        <v>38</v>
      </c>
      <c r="G24" s="7" t="n">
        <v>4</v>
      </c>
      <c r="H24" s="7" t="s">
        <v>285</v>
      </c>
      <c r="I24" s="7" t="s">
        <v>60</v>
      </c>
      <c r="J24" s="7" t="s">
        <v>297</v>
      </c>
    </row>
    <row r="25" customFormat="false" ht="23.85" hidden="false" customHeight="false" outlineLevel="0" collapsed="false">
      <c r="A25" s="7" t="s">
        <v>284</v>
      </c>
      <c r="B25" s="7" t="s">
        <v>298</v>
      </c>
      <c r="C25" s="7" t="s">
        <v>299</v>
      </c>
      <c r="D25" s="7" t="s">
        <v>300</v>
      </c>
      <c r="E25" s="7" t="s">
        <v>74</v>
      </c>
      <c r="F25" s="7" t="s">
        <v>41</v>
      </c>
      <c r="G25" s="7" t="n">
        <v>6</v>
      </c>
      <c r="H25" s="7" t="s">
        <v>285</v>
      </c>
      <c r="I25" s="7" t="s">
        <v>60</v>
      </c>
      <c r="J25" s="7" t="s">
        <v>301</v>
      </c>
    </row>
    <row r="26" customFormat="false" ht="15" hidden="false" customHeight="false" outlineLevel="0" collapsed="false">
      <c r="A26" s="7" t="s">
        <v>284</v>
      </c>
      <c r="B26" s="7" t="s">
        <v>302</v>
      </c>
      <c r="C26" s="7" t="s">
        <v>303</v>
      </c>
      <c r="D26" s="7" t="s">
        <v>304</v>
      </c>
      <c r="E26" s="7" t="s">
        <v>74</v>
      </c>
      <c r="F26" s="7" t="s">
        <v>38</v>
      </c>
      <c r="G26" s="7" t="n">
        <v>4</v>
      </c>
      <c r="H26" s="7" t="s">
        <v>285</v>
      </c>
      <c r="I26" s="7" t="s">
        <v>60</v>
      </c>
      <c r="J26" s="7" t="s">
        <v>305</v>
      </c>
    </row>
    <row r="27" customFormat="false" ht="15" hidden="false" customHeight="false" outlineLevel="0" collapsed="false">
      <c r="A27" s="7" t="s">
        <v>284</v>
      </c>
      <c r="B27" s="7" t="s">
        <v>306</v>
      </c>
      <c r="C27" s="7" t="s">
        <v>307</v>
      </c>
      <c r="D27" s="7" t="s">
        <v>308</v>
      </c>
      <c r="E27" s="7" t="s">
        <v>74</v>
      </c>
      <c r="F27" s="7" t="s">
        <v>43</v>
      </c>
      <c r="G27" s="7" t="n">
        <v>8</v>
      </c>
      <c r="H27" s="7" t="s">
        <v>290</v>
      </c>
      <c r="I27" s="7" t="s">
        <v>60</v>
      </c>
      <c r="J27" s="7" t="s">
        <v>309</v>
      </c>
    </row>
    <row r="28" customFormat="false" ht="15" hidden="false" customHeight="false" outlineLevel="0" collapsed="false">
      <c r="A28" s="6" t="s">
        <v>310</v>
      </c>
      <c r="B28" s="6"/>
      <c r="C28" s="6"/>
      <c r="D28" s="6"/>
      <c r="E28" s="6"/>
      <c r="F28" s="6"/>
      <c r="G28" s="6"/>
      <c r="H28" s="6"/>
      <c r="I28" s="6"/>
      <c r="J28" s="6"/>
    </row>
    <row r="29" customFormat="false" ht="23.85" hidden="false" customHeight="false" outlineLevel="0" collapsed="false">
      <c r="A29" s="7" t="s">
        <v>311</v>
      </c>
      <c r="B29" s="7" t="s">
        <v>312</v>
      </c>
      <c r="C29" s="7" t="s">
        <v>313</v>
      </c>
      <c r="D29" s="7" t="s">
        <v>314</v>
      </c>
      <c r="E29" s="7" t="s">
        <v>74</v>
      </c>
      <c r="F29" s="7" t="s">
        <v>35</v>
      </c>
      <c r="G29" s="7" t="n">
        <v>6</v>
      </c>
      <c r="H29" s="7" t="s">
        <v>285</v>
      </c>
      <c r="I29" s="7" t="s">
        <v>60</v>
      </c>
      <c r="J29" s="7" t="s">
        <v>315</v>
      </c>
    </row>
    <row r="30" customFormat="false" ht="15" hidden="false" customHeight="false" outlineLevel="0" collapsed="false">
      <c r="A30" s="7" t="s">
        <v>311</v>
      </c>
      <c r="B30" s="7" t="s">
        <v>316</v>
      </c>
      <c r="C30" s="7" t="s">
        <v>317</v>
      </c>
      <c r="D30" s="7" t="s">
        <v>318</v>
      </c>
      <c r="E30" s="7" t="s">
        <v>74</v>
      </c>
      <c r="F30" s="7" t="s">
        <v>38</v>
      </c>
      <c r="G30" s="7" t="n">
        <v>4</v>
      </c>
      <c r="H30" s="7" t="s">
        <v>312</v>
      </c>
      <c r="I30" s="7" t="s">
        <v>60</v>
      </c>
      <c r="J30" s="7"/>
    </row>
    <row r="31" customFormat="false" ht="15" hidden="false" customHeight="false" outlineLevel="0" collapsed="false">
      <c r="A31" s="7" t="s">
        <v>311</v>
      </c>
      <c r="B31" s="7" t="s">
        <v>319</v>
      </c>
      <c r="C31" s="7" t="s">
        <v>320</v>
      </c>
      <c r="D31" s="7" t="s">
        <v>321</v>
      </c>
      <c r="E31" s="7" t="s">
        <v>74</v>
      </c>
      <c r="F31" s="7" t="s">
        <v>35</v>
      </c>
      <c r="G31" s="7" t="n">
        <v>10</v>
      </c>
      <c r="H31" s="7" t="s">
        <v>312</v>
      </c>
      <c r="I31" s="7" t="s">
        <v>60</v>
      </c>
      <c r="J31" s="7" t="s">
        <v>322</v>
      </c>
    </row>
    <row r="32" customFormat="false" ht="15" hidden="false" customHeight="false" outlineLevel="0" collapsed="false">
      <c r="A32" s="7" t="s">
        <v>311</v>
      </c>
      <c r="B32" s="7" t="s">
        <v>323</v>
      </c>
      <c r="C32" s="7" t="s">
        <v>324</v>
      </c>
      <c r="D32" s="7" t="s">
        <v>325</v>
      </c>
      <c r="E32" s="7" t="s">
        <v>74</v>
      </c>
      <c r="F32" s="7" t="s">
        <v>38</v>
      </c>
      <c r="G32" s="7" t="n">
        <v>4</v>
      </c>
      <c r="H32" s="7" t="s">
        <v>312</v>
      </c>
      <c r="I32" s="7" t="s">
        <v>60</v>
      </c>
      <c r="J32" s="7" t="s">
        <v>326</v>
      </c>
    </row>
    <row r="33" customFormat="false" ht="15" hidden="false" customHeight="false" outlineLevel="0" collapsed="false">
      <c r="A33" s="7" t="s">
        <v>311</v>
      </c>
      <c r="B33" s="7" t="s">
        <v>327</v>
      </c>
      <c r="C33" s="7" t="s">
        <v>328</v>
      </c>
      <c r="D33" s="7" t="s">
        <v>329</v>
      </c>
      <c r="E33" s="7" t="s">
        <v>74</v>
      </c>
      <c r="F33" s="7" t="s">
        <v>35</v>
      </c>
      <c r="G33" s="7" t="n">
        <v>12</v>
      </c>
      <c r="H33" s="7" t="s">
        <v>312</v>
      </c>
      <c r="I33" s="7" t="s">
        <v>60</v>
      </c>
      <c r="J33" s="7" t="s">
        <v>330</v>
      </c>
    </row>
    <row r="34" customFormat="false" ht="15" hidden="false" customHeight="false" outlineLevel="0" collapsed="false">
      <c r="A34" s="7" t="s">
        <v>311</v>
      </c>
      <c r="B34" s="7" t="s">
        <v>331</v>
      </c>
      <c r="C34" s="7" t="s">
        <v>332</v>
      </c>
      <c r="D34" s="7" t="s">
        <v>333</v>
      </c>
      <c r="E34" s="7" t="s">
        <v>74</v>
      </c>
      <c r="F34" s="7" t="s">
        <v>38</v>
      </c>
      <c r="G34" s="7" t="n">
        <v>8</v>
      </c>
      <c r="H34" s="7" t="s">
        <v>312</v>
      </c>
      <c r="I34" s="7" t="s">
        <v>60</v>
      </c>
      <c r="J34" s="7" t="s">
        <v>334</v>
      </c>
    </row>
    <row r="35" customFormat="false" ht="15" hidden="false" customHeight="false" outlineLevel="0" collapsed="false">
      <c r="A35" s="7" t="s">
        <v>311</v>
      </c>
      <c r="B35" s="7" t="s">
        <v>335</v>
      </c>
      <c r="C35" s="7" t="s">
        <v>336</v>
      </c>
      <c r="D35" s="7" t="s">
        <v>337</v>
      </c>
      <c r="E35" s="7" t="s">
        <v>74</v>
      </c>
      <c r="F35" s="7" t="s">
        <v>41</v>
      </c>
      <c r="G35" s="7" t="n">
        <v>8</v>
      </c>
      <c r="H35" s="7" t="s">
        <v>319</v>
      </c>
      <c r="I35" s="7" t="s">
        <v>60</v>
      </c>
      <c r="J35" s="7" t="s">
        <v>338</v>
      </c>
    </row>
    <row r="36" customFormat="false" ht="15" hidden="false" customHeight="false" outlineLevel="0" collapsed="false">
      <c r="A36" s="6" t="s">
        <v>339</v>
      </c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" hidden="false" customHeight="false" outlineLevel="0" collapsed="false">
      <c r="A37" s="7" t="s">
        <v>340</v>
      </c>
      <c r="B37" s="7" t="s">
        <v>341</v>
      </c>
      <c r="C37" s="7" t="s">
        <v>342</v>
      </c>
      <c r="D37" s="7" t="s">
        <v>343</v>
      </c>
      <c r="E37" s="7" t="s">
        <v>74</v>
      </c>
      <c r="F37" s="7" t="s">
        <v>38</v>
      </c>
      <c r="G37" s="7" t="n">
        <v>4</v>
      </c>
      <c r="H37" s="7" t="s">
        <v>226</v>
      </c>
      <c r="I37" s="7" t="s">
        <v>60</v>
      </c>
      <c r="J37" s="7" t="s">
        <v>344</v>
      </c>
    </row>
    <row r="38" customFormat="false" ht="23.85" hidden="false" customHeight="false" outlineLevel="0" collapsed="false">
      <c r="A38" s="7" t="s">
        <v>340</v>
      </c>
      <c r="B38" s="7" t="s">
        <v>345</v>
      </c>
      <c r="C38" s="7" t="s">
        <v>346</v>
      </c>
      <c r="D38" s="7" t="s">
        <v>347</v>
      </c>
      <c r="E38" s="7" t="s">
        <v>74</v>
      </c>
      <c r="F38" s="7" t="s">
        <v>35</v>
      </c>
      <c r="G38" s="7" t="n">
        <v>12</v>
      </c>
      <c r="H38" s="7" t="s">
        <v>275</v>
      </c>
      <c r="I38" s="7" t="s">
        <v>60</v>
      </c>
      <c r="J38" s="7" t="s">
        <v>348</v>
      </c>
    </row>
    <row r="39" customFormat="false" ht="23.85" hidden="false" customHeight="false" outlineLevel="0" collapsed="false">
      <c r="A39" s="7" t="s">
        <v>340</v>
      </c>
      <c r="B39" s="7" t="s">
        <v>349</v>
      </c>
      <c r="C39" s="7" t="s">
        <v>350</v>
      </c>
      <c r="D39" s="7" t="s">
        <v>351</v>
      </c>
      <c r="E39" s="7" t="s">
        <v>74</v>
      </c>
      <c r="F39" s="7" t="s">
        <v>38</v>
      </c>
      <c r="G39" s="7" t="n">
        <v>6</v>
      </c>
      <c r="H39" s="7" t="s">
        <v>341</v>
      </c>
      <c r="I39" s="7" t="s">
        <v>60</v>
      </c>
      <c r="J39" s="7" t="s">
        <v>352</v>
      </c>
    </row>
    <row r="40" customFormat="false" ht="23.85" hidden="false" customHeight="false" outlineLevel="0" collapsed="false">
      <c r="A40" s="7" t="s">
        <v>340</v>
      </c>
      <c r="B40" s="7" t="s">
        <v>353</v>
      </c>
      <c r="C40" s="7" t="s">
        <v>354</v>
      </c>
      <c r="D40" s="7" t="s">
        <v>355</v>
      </c>
      <c r="E40" s="7" t="s">
        <v>74</v>
      </c>
      <c r="F40" s="7" t="s">
        <v>38</v>
      </c>
      <c r="G40" s="7" t="n">
        <v>12</v>
      </c>
      <c r="H40" s="7" t="s">
        <v>341</v>
      </c>
      <c r="I40" s="7" t="s">
        <v>60</v>
      </c>
      <c r="J40" s="7"/>
    </row>
    <row r="41" customFormat="false" ht="15" hidden="false" customHeight="false" outlineLevel="0" collapsed="false">
      <c r="A41" s="7" t="s">
        <v>340</v>
      </c>
      <c r="B41" s="7" t="s">
        <v>356</v>
      </c>
      <c r="C41" s="7" t="s">
        <v>357</v>
      </c>
      <c r="D41" s="7" t="s">
        <v>358</v>
      </c>
      <c r="E41" s="7" t="s">
        <v>74</v>
      </c>
      <c r="F41" s="7" t="s">
        <v>41</v>
      </c>
      <c r="G41" s="7" t="n">
        <v>6</v>
      </c>
      <c r="H41" s="7" t="s">
        <v>341</v>
      </c>
      <c r="I41" s="7" t="s">
        <v>60</v>
      </c>
      <c r="J41" s="7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15" hidden="false" customHeight="false" outlineLevel="0" collapsed="false">
      <c r="A2" s="6" t="s">
        <v>360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7" t="s">
        <v>361</v>
      </c>
      <c r="B3" s="7" t="s">
        <v>362</v>
      </c>
      <c r="C3" s="7" t="s">
        <v>363</v>
      </c>
      <c r="D3" s="7" t="s">
        <v>364</v>
      </c>
      <c r="E3" s="7" t="s">
        <v>74</v>
      </c>
      <c r="F3" s="7" t="s">
        <v>35</v>
      </c>
      <c r="G3" s="7" t="n">
        <v>6</v>
      </c>
      <c r="H3" s="7" t="s">
        <v>213</v>
      </c>
      <c r="I3" s="7" t="s">
        <v>60</v>
      </c>
      <c r="J3" s="7" t="s">
        <v>365</v>
      </c>
    </row>
    <row r="4" customFormat="false" ht="15" hidden="false" customHeight="false" outlineLevel="0" collapsed="false">
      <c r="A4" s="7" t="s">
        <v>361</v>
      </c>
      <c r="B4" s="7" t="s">
        <v>366</v>
      </c>
      <c r="C4" s="7" t="s">
        <v>367</v>
      </c>
      <c r="D4" s="7" t="s">
        <v>368</v>
      </c>
      <c r="E4" s="7" t="s">
        <v>74</v>
      </c>
      <c r="F4" s="7" t="s">
        <v>38</v>
      </c>
      <c r="G4" s="7" t="n">
        <v>4</v>
      </c>
      <c r="H4" s="7" t="s">
        <v>362</v>
      </c>
      <c r="I4" s="7" t="s">
        <v>60</v>
      </c>
      <c r="J4" s="7" t="s">
        <v>369</v>
      </c>
    </row>
    <row r="5" customFormat="false" ht="15" hidden="false" customHeight="false" outlineLevel="0" collapsed="false">
      <c r="A5" s="7" t="s">
        <v>361</v>
      </c>
      <c r="B5" s="7" t="s">
        <v>370</v>
      </c>
      <c r="C5" s="7" t="s">
        <v>371</v>
      </c>
      <c r="D5" s="7" t="s">
        <v>372</v>
      </c>
      <c r="E5" s="7" t="s">
        <v>373</v>
      </c>
      <c r="F5" s="7" t="s">
        <v>35</v>
      </c>
      <c r="G5" s="7" t="n">
        <v>12</v>
      </c>
      <c r="H5" s="7"/>
      <c r="I5" s="7" t="s">
        <v>60</v>
      </c>
      <c r="J5" s="7" t="s">
        <v>374</v>
      </c>
    </row>
    <row r="6" customFormat="false" ht="15" hidden="false" customHeight="false" outlineLevel="0" collapsed="false">
      <c r="A6" s="7" t="s">
        <v>361</v>
      </c>
      <c r="B6" s="7" t="s">
        <v>375</v>
      </c>
      <c r="C6" s="7" t="s">
        <v>376</v>
      </c>
      <c r="D6" s="7" t="s">
        <v>377</v>
      </c>
      <c r="E6" s="7" t="s">
        <v>373</v>
      </c>
      <c r="F6" s="7" t="s">
        <v>38</v>
      </c>
      <c r="G6" s="7" t="n">
        <v>8</v>
      </c>
      <c r="H6" s="7" t="s">
        <v>370</v>
      </c>
      <c r="I6" s="7" t="s">
        <v>60</v>
      </c>
      <c r="J6" s="7" t="s">
        <v>378</v>
      </c>
    </row>
    <row r="7" customFormat="false" ht="15" hidden="false" customHeight="false" outlineLevel="0" collapsed="false">
      <c r="A7" s="7" t="s">
        <v>361</v>
      </c>
      <c r="B7" s="7" t="s">
        <v>379</v>
      </c>
      <c r="C7" s="7" t="s">
        <v>380</v>
      </c>
      <c r="D7" s="7" t="s">
        <v>381</v>
      </c>
      <c r="E7" s="7" t="s">
        <v>74</v>
      </c>
      <c r="F7" s="7" t="s">
        <v>38</v>
      </c>
      <c r="G7" s="7" t="n">
        <v>8</v>
      </c>
      <c r="H7" s="7" t="s">
        <v>362</v>
      </c>
      <c r="I7" s="7" t="s">
        <v>60</v>
      </c>
      <c r="J7" s="7" t="s">
        <v>382</v>
      </c>
    </row>
    <row r="8" customFormat="false" ht="15" hidden="false" customHeight="false" outlineLevel="0" collapsed="false">
      <c r="A8" s="7" t="s">
        <v>361</v>
      </c>
      <c r="B8" s="7" t="s">
        <v>383</v>
      </c>
      <c r="C8" s="7" t="s">
        <v>384</v>
      </c>
      <c r="D8" s="7" t="s">
        <v>385</v>
      </c>
      <c r="E8" s="7" t="s">
        <v>74</v>
      </c>
      <c r="F8" s="7" t="s">
        <v>41</v>
      </c>
      <c r="G8" s="7" t="n">
        <v>6</v>
      </c>
      <c r="H8" s="7" t="s">
        <v>386</v>
      </c>
      <c r="I8" s="7" t="s">
        <v>60</v>
      </c>
      <c r="J8" s="7" t="s">
        <v>387</v>
      </c>
    </row>
    <row r="9" customFormat="false" ht="15" hidden="false" customHeight="false" outlineLevel="0" collapsed="false">
      <c r="A9" s="7" t="s">
        <v>361</v>
      </c>
      <c r="B9" s="7" t="s">
        <v>388</v>
      </c>
      <c r="C9" s="7" t="s">
        <v>389</v>
      </c>
      <c r="D9" s="7" t="s">
        <v>390</v>
      </c>
      <c r="E9" s="7" t="s">
        <v>74</v>
      </c>
      <c r="F9" s="7" t="s">
        <v>38</v>
      </c>
      <c r="G9" s="7" t="n">
        <v>4</v>
      </c>
      <c r="H9" s="7" t="s">
        <v>379</v>
      </c>
      <c r="I9" s="7" t="s">
        <v>60</v>
      </c>
      <c r="J9" s="7" t="s">
        <v>391</v>
      </c>
    </row>
    <row r="10" customFormat="false" ht="23.85" hidden="false" customHeight="false" outlineLevel="0" collapsed="false">
      <c r="A10" s="6" t="s">
        <v>392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7" t="s">
        <v>393</v>
      </c>
      <c r="B11" s="7" t="s">
        <v>394</v>
      </c>
      <c r="C11" s="7" t="s">
        <v>395</v>
      </c>
      <c r="D11" s="7" t="s">
        <v>396</v>
      </c>
      <c r="E11" s="7" t="s">
        <v>74</v>
      </c>
      <c r="F11" s="7" t="s">
        <v>35</v>
      </c>
      <c r="G11" s="7" t="n">
        <v>16</v>
      </c>
      <c r="H11" s="7" t="s">
        <v>366</v>
      </c>
      <c r="I11" s="7" t="s">
        <v>60</v>
      </c>
      <c r="J11" s="7" t="s">
        <v>397</v>
      </c>
    </row>
    <row r="12" customFormat="false" ht="15" hidden="false" customHeight="false" outlineLevel="0" collapsed="false">
      <c r="A12" s="7" t="s">
        <v>393</v>
      </c>
      <c r="B12" s="7" t="s">
        <v>398</v>
      </c>
      <c r="C12" s="7" t="s">
        <v>399</v>
      </c>
      <c r="D12" s="7" t="s">
        <v>400</v>
      </c>
      <c r="E12" s="7" t="s">
        <v>74</v>
      </c>
      <c r="F12" s="7" t="s">
        <v>38</v>
      </c>
      <c r="G12" s="7" t="n">
        <v>8</v>
      </c>
      <c r="H12" s="7" t="s">
        <v>394</v>
      </c>
      <c r="I12" s="7" t="s">
        <v>60</v>
      </c>
      <c r="J12" s="7" t="s">
        <v>401</v>
      </c>
    </row>
    <row r="13" customFormat="false" ht="15" hidden="false" customHeight="false" outlineLevel="0" collapsed="false">
      <c r="A13" s="7" t="s">
        <v>393</v>
      </c>
      <c r="B13" s="7" t="s">
        <v>402</v>
      </c>
      <c r="C13" s="7" t="s">
        <v>403</v>
      </c>
      <c r="D13" s="7" t="s">
        <v>404</v>
      </c>
      <c r="E13" s="7" t="s">
        <v>74</v>
      </c>
      <c r="F13" s="7" t="s">
        <v>38</v>
      </c>
      <c r="G13" s="7" t="n">
        <v>8</v>
      </c>
      <c r="H13" s="7" t="s">
        <v>394</v>
      </c>
      <c r="I13" s="7" t="s">
        <v>60</v>
      </c>
      <c r="J13" s="7" t="s">
        <v>405</v>
      </c>
    </row>
    <row r="14" customFormat="false" ht="15" hidden="false" customHeight="false" outlineLevel="0" collapsed="false">
      <c r="A14" s="7" t="s">
        <v>393</v>
      </c>
      <c r="B14" s="7" t="s">
        <v>406</v>
      </c>
      <c r="C14" s="7" t="s">
        <v>407</v>
      </c>
      <c r="D14" s="7" t="s">
        <v>408</v>
      </c>
      <c r="E14" s="7" t="s">
        <v>74</v>
      </c>
      <c r="F14" s="7" t="s">
        <v>41</v>
      </c>
      <c r="G14" s="7" t="n">
        <v>6</v>
      </c>
      <c r="H14" s="7" t="s">
        <v>394</v>
      </c>
      <c r="I14" s="7" t="s">
        <v>60</v>
      </c>
      <c r="J14" s="7" t="s">
        <v>409</v>
      </c>
    </row>
    <row r="15" customFormat="false" ht="15" hidden="false" customHeight="false" outlineLevel="0" collapsed="false">
      <c r="A15" s="6" t="s">
        <v>410</v>
      </c>
      <c r="B15" s="6"/>
      <c r="C15" s="6"/>
      <c r="D15" s="6"/>
      <c r="E15" s="6"/>
      <c r="F15" s="6"/>
      <c r="G15" s="6"/>
      <c r="H15" s="6"/>
      <c r="I15" s="6"/>
      <c r="J15" s="6"/>
    </row>
    <row r="16" customFormat="false" ht="15" hidden="false" customHeight="false" outlineLevel="0" collapsed="false">
      <c r="A16" s="7" t="s">
        <v>411</v>
      </c>
      <c r="B16" s="7" t="s">
        <v>412</v>
      </c>
      <c r="C16" s="7" t="s">
        <v>413</v>
      </c>
      <c r="D16" s="7" t="s">
        <v>414</v>
      </c>
      <c r="E16" s="7" t="s">
        <v>74</v>
      </c>
      <c r="F16" s="7" t="s">
        <v>35</v>
      </c>
      <c r="G16" s="7" t="n">
        <v>20</v>
      </c>
      <c r="H16" s="7" t="s">
        <v>415</v>
      </c>
      <c r="I16" s="7" t="s">
        <v>60</v>
      </c>
      <c r="J16" s="7" t="s">
        <v>416</v>
      </c>
    </row>
    <row r="17" customFormat="false" ht="15" hidden="false" customHeight="false" outlineLevel="0" collapsed="false">
      <c r="A17" s="7" t="s">
        <v>411</v>
      </c>
      <c r="B17" s="7" t="s">
        <v>417</v>
      </c>
      <c r="C17" s="7" t="s">
        <v>418</v>
      </c>
      <c r="D17" s="7" t="s">
        <v>419</v>
      </c>
      <c r="E17" s="7" t="s">
        <v>74</v>
      </c>
      <c r="F17" s="7" t="s">
        <v>38</v>
      </c>
      <c r="G17" s="7" t="n">
        <v>10</v>
      </c>
      <c r="H17" s="7" t="s">
        <v>412</v>
      </c>
      <c r="I17" s="7" t="s">
        <v>60</v>
      </c>
      <c r="J17" s="7" t="s">
        <v>420</v>
      </c>
    </row>
    <row r="18" customFormat="false" ht="15" hidden="false" customHeight="false" outlineLevel="0" collapsed="false">
      <c r="A18" s="7" t="s">
        <v>411</v>
      </c>
      <c r="B18" s="7" t="s">
        <v>421</v>
      </c>
      <c r="C18" s="7" t="s">
        <v>422</v>
      </c>
      <c r="D18" s="7" t="s">
        <v>423</v>
      </c>
      <c r="E18" s="7" t="s">
        <v>74</v>
      </c>
      <c r="F18" s="7" t="s">
        <v>38</v>
      </c>
      <c r="G18" s="7" t="n">
        <v>8</v>
      </c>
      <c r="H18" s="7" t="s">
        <v>417</v>
      </c>
      <c r="I18" s="7" t="s">
        <v>60</v>
      </c>
      <c r="J18" s="7" t="s">
        <v>424</v>
      </c>
    </row>
    <row r="19" customFormat="false" ht="15" hidden="false" customHeight="false" outlineLevel="0" collapsed="false">
      <c r="A19" s="7" t="s">
        <v>411</v>
      </c>
      <c r="B19" s="7" t="s">
        <v>425</v>
      </c>
      <c r="C19" s="7" t="s">
        <v>426</v>
      </c>
      <c r="D19" s="7" t="s">
        <v>427</v>
      </c>
      <c r="E19" s="7" t="s">
        <v>373</v>
      </c>
      <c r="F19" s="7" t="s">
        <v>35</v>
      </c>
      <c r="G19" s="7" t="n">
        <v>20</v>
      </c>
      <c r="H19" s="7" t="s">
        <v>412</v>
      </c>
      <c r="I19" s="7" t="s">
        <v>60</v>
      </c>
      <c r="J19" s="7" t="s">
        <v>428</v>
      </c>
    </row>
    <row r="20" customFormat="false" ht="15" hidden="false" customHeight="false" outlineLevel="0" collapsed="false">
      <c r="A20" s="7" t="s">
        <v>411</v>
      </c>
      <c r="B20" s="7" t="s">
        <v>429</v>
      </c>
      <c r="C20" s="7" t="s">
        <v>430</v>
      </c>
      <c r="D20" s="7" t="s">
        <v>431</v>
      </c>
      <c r="E20" s="7" t="s">
        <v>373</v>
      </c>
      <c r="F20" s="7" t="s">
        <v>38</v>
      </c>
      <c r="G20" s="7" t="n">
        <v>8</v>
      </c>
      <c r="H20" s="7" t="s">
        <v>425</v>
      </c>
      <c r="I20" s="7" t="s">
        <v>60</v>
      </c>
      <c r="J20" s="7" t="s">
        <v>432</v>
      </c>
    </row>
    <row r="21" customFormat="false" ht="15" hidden="false" customHeight="false" outlineLevel="0" collapsed="false">
      <c r="A21" s="7" t="s">
        <v>411</v>
      </c>
      <c r="B21" s="7" t="s">
        <v>433</v>
      </c>
      <c r="C21" s="7" t="s">
        <v>434</v>
      </c>
      <c r="D21" s="7" t="s">
        <v>435</v>
      </c>
      <c r="E21" s="7" t="s">
        <v>74</v>
      </c>
      <c r="F21" s="7" t="s">
        <v>38</v>
      </c>
      <c r="G21" s="7" t="n">
        <v>12</v>
      </c>
      <c r="H21" s="7" t="s">
        <v>412</v>
      </c>
      <c r="I21" s="7" t="s">
        <v>60</v>
      </c>
      <c r="J21" s="7" t="s">
        <v>436</v>
      </c>
    </row>
    <row r="22" customFormat="false" ht="23.85" hidden="false" customHeight="false" outlineLevel="0" collapsed="false">
      <c r="A22" s="6" t="s">
        <v>437</v>
      </c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" hidden="false" customHeight="false" outlineLevel="0" collapsed="false">
      <c r="A23" s="7" t="s">
        <v>438</v>
      </c>
      <c r="B23" s="7" t="s">
        <v>439</v>
      </c>
      <c r="C23" s="7" t="s">
        <v>440</v>
      </c>
      <c r="D23" s="7" t="s">
        <v>441</v>
      </c>
      <c r="E23" s="7" t="s">
        <v>74</v>
      </c>
      <c r="F23" s="7" t="s">
        <v>38</v>
      </c>
      <c r="G23" s="7" t="n">
        <v>6</v>
      </c>
      <c r="H23" s="7" t="s">
        <v>213</v>
      </c>
      <c r="I23" s="7" t="s">
        <v>60</v>
      </c>
      <c r="J23" s="7" t="s">
        <v>442</v>
      </c>
    </row>
    <row r="24" customFormat="false" ht="15" hidden="false" customHeight="false" outlineLevel="0" collapsed="false">
      <c r="A24" s="7" t="s">
        <v>438</v>
      </c>
      <c r="B24" s="7" t="s">
        <v>443</v>
      </c>
      <c r="C24" s="7" t="s">
        <v>444</v>
      </c>
      <c r="D24" s="7" t="s">
        <v>445</v>
      </c>
      <c r="E24" s="7" t="s">
        <v>74</v>
      </c>
      <c r="F24" s="7" t="s">
        <v>35</v>
      </c>
      <c r="G24" s="7" t="n">
        <v>16</v>
      </c>
      <c r="H24" s="7" t="s">
        <v>446</v>
      </c>
      <c r="I24" s="7" t="s">
        <v>60</v>
      </c>
      <c r="J24" s="7" t="s">
        <v>447</v>
      </c>
    </row>
    <row r="25" customFormat="false" ht="15" hidden="false" customHeight="false" outlineLevel="0" collapsed="false">
      <c r="A25" s="7" t="s">
        <v>438</v>
      </c>
      <c r="B25" s="7" t="s">
        <v>448</v>
      </c>
      <c r="C25" s="7" t="s">
        <v>449</v>
      </c>
      <c r="D25" s="7" t="s">
        <v>450</v>
      </c>
      <c r="E25" s="7" t="s">
        <v>74</v>
      </c>
      <c r="F25" s="7" t="s">
        <v>38</v>
      </c>
      <c r="G25" s="7" t="n">
        <v>8</v>
      </c>
      <c r="H25" s="7" t="s">
        <v>402</v>
      </c>
      <c r="I25" s="7" t="s">
        <v>60</v>
      </c>
      <c r="J25" s="7" t="s">
        <v>451</v>
      </c>
    </row>
    <row r="26" customFormat="false" ht="15" hidden="false" customHeight="false" outlineLevel="0" collapsed="false">
      <c r="A26" s="7" t="s">
        <v>438</v>
      </c>
      <c r="B26" s="7" t="s">
        <v>452</v>
      </c>
      <c r="C26" s="7" t="s">
        <v>453</v>
      </c>
      <c r="D26" s="7" t="s">
        <v>454</v>
      </c>
      <c r="E26" s="7" t="s">
        <v>74</v>
      </c>
      <c r="F26" s="7" t="s">
        <v>38</v>
      </c>
      <c r="G26" s="7" t="n">
        <v>6</v>
      </c>
      <c r="H26" s="7" t="s">
        <v>443</v>
      </c>
      <c r="I26" s="7" t="s">
        <v>60</v>
      </c>
      <c r="J26" s="7" t="s">
        <v>455</v>
      </c>
    </row>
    <row r="27" customFormat="false" ht="15" hidden="false" customHeight="false" outlineLevel="0" collapsed="false">
      <c r="A27" s="7" t="s">
        <v>438</v>
      </c>
      <c r="B27" s="7" t="s">
        <v>456</v>
      </c>
      <c r="C27" s="7" t="s">
        <v>457</v>
      </c>
      <c r="D27" s="7" t="s">
        <v>458</v>
      </c>
      <c r="E27" s="7" t="s">
        <v>74</v>
      </c>
      <c r="F27" s="7" t="s">
        <v>38</v>
      </c>
      <c r="G27" s="7" t="n">
        <v>4</v>
      </c>
      <c r="H27" s="7" t="s">
        <v>213</v>
      </c>
      <c r="I27" s="7" t="s">
        <v>60</v>
      </c>
      <c r="J27" s="7" t="s">
        <v>459</v>
      </c>
    </row>
    <row r="28" customFormat="false" ht="15" hidden="false" customHeight="false" outlineLevel="0" collapsed="false">
      <c r="A28" s="7" t="s">
        <v>438</v>
      </c>
      <c r="B28" s="7" t="s">
        <v>460</v>
      </c>
      <c r="C28" s="7" t="s">
        <v>461</v>
      </c>
      <c r="D28" s="7" t="s">
        <v>462</v>
      </c>
      <c r="E28" s="7" t="s">
        <v>74</v>
      </c>
      <c r="F28" s="7" t="s">
        <v>35</v>
      </c>
      <c r="G28" s="7" t="n">
        <v>12</v>
      </c>
      <c r="H28" s="7" t="s">
        <v>456</v>
      </c>
      <c r="I28" s="7" t="s">
        <v>60</v>
      </c>
      <c r="J28" s="7" t="s">
        <v>463</v>
      </c>
    </row>
    <row r="29" customFormat="false" ht="15" hidden="false" customHeight="false" outlineLevel="0" collapsed="false">
      <c r="A29" s="7" t="s">
        <v>438</v>
      </c>
      <c r="B29" s="7" t="s">
        <v>464</v>
      </c>
      <c r="C29" s="7" t="s">
        <v>465</v>
      </c>
      <c r="D29" s="7" t="s">
        <v>466</v>
      </c>
      <c r="E29" s="7" t="s">
        <v>74</v>
      </c>
      <c r="F29" s="7" t="s">
        <v>38</v>
      </c>
      <c r="G29" s="7" t="n">
        <v>8</v>
      </c>
      <c r="H29" s="7" t="s">
        <v>460</v>
      </c>
      <c r="I29" s="7" t="s">
        <v>60</v>
      </c>
      <c r="J29" s="7" t="s">
        <v>467</v>
      </c>
    </row>
    <row r="30" customFormat="false" ht="15" hidden="false" customHeight="false" outlineLevel="0" collapsed="false">
      <c r="A30" s="7" t="s">
        <v>438</v>
      </c>
      <c r="B30" s="7" t="s">
        <v>468</v>
      </c>
      <c r="C30" s="7" t="s">
        <v>469</v>
      </c>
      <c r="D30" s="7" t="s">
        <v>470</v>
      </c>
      <c r="E30" s="7" t="s">
        <v>74</v>
      </c>
      <c r="F30" s="7" t="s">
        <v>41</v>
      </c>
      <c r="G30" s="7" t="n">
        <v>8</v>
      </c>
      <c r="H30" s="7" t="s">
        <v>460</v>
      </c>
      <c r="I30" s="7" t="s">
        <v>60</v>
      </c>
      <c r="J30" s="7" t="s">
        <v>471</v>
      </c>
    </row>
    <row r="31" customFormat="false" ht="15" hidden="false" customHeight="false" outlineLevel="0" collapsed="false">
      <c r="A31" s="6" t="s">
        <v>472</v>
      </c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7" t="s">
        <v>473</v>
      </c>
      <c r="B32" s="7" t="s">
        <v>474</v>
      </c>
      <c r="C32" s="7" t="s">
        <v>475</v>
      </c>
      <c r="D32" s="7" t="s">
        <v>476</v>
      </c>
      <c r="E32" s="7" t="s">
        <v>74</v>
      </c>
      <c r="F32" s="7" t="s">
        <v>38</v>
      </c>
      <c r="G32" s="7" t="n">
        <v>4</v>
      </c>
      <c r="H32" s="7" t="s">
        <v>379</v>
      </c>
      <c r="I32" s="7" t="s">
        <v>60</v>
      </c>
      <c r="J32" s="7" t="s">
        <v>477</v>
      </c>
    </row>
    <row r="33" customFormat="false" ht="15" hidden="false" customHeight="false" outlineLevel="0" collapsed="false">
      <c r="A33" s="7" t="s">
        <v>473</v>
      </c>
      <c r="B33" s="7" t="s">
        <v>478</v>
      </c>
      <c r="C33" s="7" t="s">
        <v>479</v>
      </c>
      <c r="D33" s="7" t="s">
        <v>480</v>
      </c>
      <c r="E33" s="7" t="s">
        <v>74</v>
      </c>
      <c r="F33" s="7" t="s">
        <v>41</v>
      </c>
      <c r="G33" s="7" t="n">
        <v>6</v>
      </c>
      <c r="H33" s="7" t="s">
        <v>379</v>
      </c>
      <c r="I33" s="7" t="s">
        <v>60</v>
      </c>
      <c r="J33" s="7" t="s">
        <v>481</v>
      </c>
    </row>
    <row r="34" customFormat="false" ht="15" hidden="false" customHeight="false" outlineLevel="0" collapsed="false">
      <c r="A34" s="7" t="s">
        <v>473</v>
      </c>
      <c r="B34" s="7" t="s">
        <v>482</v>
      </c>
      <c r="C34" s="7" t="s">
        <v>483</v>
      </c>
      <c r="D34" s="7" t="s">
        <v>484</v>
      </c>
      <c r="E34" s="7" t="s">
        <v>74</v>
      </c>
      <c r="F34" s="7" t="s">
        <v>38</v>
      </c>
      <c r="G34" s="7" t="n">
        <v>4</v>
      </c>
      <c r="H34" s="7" t="s">
        <v>429</v>
      </c>
      <c r="I34" s="7" t="s">
        <v>60</v>
      </c>
      <c r="J34" s="7" t="s">
        <v>485</v>
      </c>
    </row>
    <row r="35" customFormat="false" ht="15" hidden="false" customHeight="false" outlineLevel="0" collapsed="false">
      <c r="A35" s="7" t="s">
        <v>473</v>
      </c>
      <c r="B35" s="7" t="s">
        <v>486</v>
      </c>
      <c r="C35" s="7" t="s">
        <v>487</v>
      </c>
      <c r="D35" s="7" t="s">
        <v>488</v>
      </c>
      <c r="E35" s="7" t="s">
        <v>74</v>
      </c>
      <c r="F35" s="7" t="s">
        <v>38</v>
      </c>
      <c r="G35" s="7" t="n">
        <v>6</v>
      </c>
      <c r="H35" s="7" t="s">
        <v>412</v>
      </c>
      <c r="I35" s="7" t="s">
        <v>60</v>
      </c>
      <c r="J35" s="7" t="s">
        <v>489</v>
      </c>
    </row>
    <row r="36" customFormat="false" ht="15" hidden="false" customHeight="false" outlineLevel="0" collapsed="false">
      <c r="A36" s="7" t="s">
        <v>473</v>
      </c>
      <c r="B36" s="7" t="s">
        <v>490</v>
      </c>
      <c r="C36" s="7" t="s">
        <v>491</v>
      </c>
      <c r="D36" s="7" t="s">
        <v>492</v>
      </c>
      <c r="E36" s="7" t="s">
        <v>74</v>
      </c>
      <c r="F36" s="7" t="s">
        <v>38</v>
      </c>
      <c r="G36" s="7" t="n">
        <v>4</v>
      </c>
      <c r="H36" s="7" t="s">
        <v>493</v>
      </c>
      <c r="I36" s="7" t="s">
        <v>60</v>
      </c>
      <c r="J36" s="7" t="s">
        <v>494</v>
      </c>
    </row>
    <row r="37" customFormat="false" ht="15" hidden="false" customHeight="false" outlineLevel="0" collapsed="false">
      <c r="A37" s="6" t="s">
        <v>495</v>
      </c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5" hidden="false" customHeight="false" outlineLevel="0" collapsed="false">
      <c r="A38" s="7" t="s">
        <v>496</v>
      </c>
      <c r="B38" s="7" t="s">
        <v>497</v>
      </c>
      <c r="C38" s="7" t="s">
        <v>498</v>
      </c>
      <c r="D38" s="7" t="s">
        <v>499</v>
      </c>
      <c r="E38" s="7" t="s">
        <v>69</v>
      </c>
      <c r="F38" s="7" t="s">
        <v>35</v>
      </c>
      <c r="G38" s="7" t="n">
        <v>6</v>
      </c>
      <c r="H38" s="7"/>
      <c r="I38" s="7" t="s">
        <v>60</v>
      </c>
      <c r="J38" s="7" t="s">
        <v>500</v>
      </c>
    </row>
    <row r="39" customFormat="false" ht="15" hidden="false" customHeight="false" outlineLevel="0" collapsed="false">
      <c r="A39" s="7" t="s">
        <v>496</v>
      </c>
      <c r="B39" s="7" t="s">
        <v>501</v>
      </c>
      <c r="C39" s="7" t="s">
        <v>502</v>
      </c>
      <c r="D39" s="7" t="s">
        <v>503</v>
      </c>
      <c r="E39" s="7" t="s">
        <v>59</v>
      </c>
      <c r="F39" s="7" t="s">
        <v>35</v>
      </c>
      <c r="G39" s="7" t="n">
        <v>12</v>
      </c>
      <c r="H39" s="7" t="s">
        <v>504</v>
      </c>
      <c r="I39" s="7" t="s">
        <v>60</v>
      </c>
      <c r="J39" s="7"/>
    </row>
    <row r="40" customFormat="false" ht="15" hidden="false" customHeight="false" outlineLevel="0" collapsed="false">
      <c r="A40" s="7" t="s">
        <v>496</v>
      </c>
      <c r="B40" s="7" t="s">
        <v>505</v>
      </c>
      <c r="C40" s="7" t="s">
        <v>506</v>
      </c>
      <c r="D40" s="7" t="s">
        <v>507</v>
      </c>
      <c r="E40" s="7" t="s">
        <v>74</v>
      </c>
      <c r="F40" s="7" t="s">
        <v>38</v>
      </c>
      <c r="G40" s="7" t="n">
        <v>10</v>
      </c>
      <c r="H40" s="7" t="s">
        <v>508</v>
      </c>
      <c r="I40" s="7" t="s">
        <v>60</v>
      </c>
      <c r="J40" s="7" t="s">
        <v>509</v>
      </c>
    </row>
    <row r="41" customFormat="false" ht="15" hidden="false" customHeight="false" outlineLevel="0" collapsed="false">
      <c r="A41" s="7" t="s">
        <v>496</v>
      </c>
      <c r="B41" s="7" t="s">
        <v>510</v>
      </c>
      <c r="C41" s="7" t="s">
        <v>511</v>
      </c>
      <c r="D41" s="7" t="s">
        <v>512</v>
      </c>
      <c r="E41" s="7" t="s">
        <v>74</v>
      </c>
      <c r="F41" s="7" t="s">
        <v>38</v>
      </c>
      <c r="G41" s="7" t="n">
        <v>6</v>
      </c>
      <c r="H41" s="7" t="s">
        <v>513</v>
      </c>
      <c r="I41" s="7" t="s">
        <v>60</v>
      </c>
      <c r="J41" s="7"/>
    </row>
    <row r="42" customFormat="false" ht="15" hidden="false" customHeight="false" outlineLevel="0" collapsed="false">
      <c r="A42" s="7" t="s">
        <v>496</v>
      </c>
      <c r="B42" s="7" t="s">
        <v>514</v>
      </c>
      <c r="C42" s="7" t="s">
        <v>515</v>
      </c>
      <c r="D42" s="7" t="s">
        <v>516</v>
      </c>
      <c r="E42" s="7" t="s">
        <v>74</v>
      </c>
      <c r="F42" s="7" t="s">
        <v>38</v>
      </c>
      <c r="G42" s="7" t="n">
        <v>6</v>
      </c>
      <c r="H42" s="7" t="s">
        <v>510</v>
      </c>
      <c r="I42" s="7" t="s">
        <v>60</v>
      </c>
      <c r="J42" s="7"/>
    </row>
    <row r="43" customFormat="false" ht="15" hidden="false" customHeight="false" outlineLevel="0" collapsed="false">
      <c r="A43" s="7" t="s">
        <v>496</v>
      </c>
      <c r="B43" s="7" t="s">
        <v>517</v>
      </c>
      <c r="C43" s="7" t="s">
        <v>518</v>
      </c>
      <c r="D43" s="7" t="s">
        <v>519</v>
      </c>
      <c r="E43" s="7" t="s">
        <v>74</v>
      </c>
      <c r="F43" s="7" t="s">
        <v>38</v>
      </c>
      <c r="G43" s="7" t="n">
        <v>8</v>
      </c>
      <c r="H43" s="7" t="s">
        <v>510</v>
      </c>
      <c r="I43" s="7" t="s">
        <v>60</v>
      </c>
      <c r="J43" s="7"/>
    </row>
    <row r="44" customFormat="false" ht="15" hidden="false" customHeight="false" outlineLevel="0" collapsed="false">
      <c r="A44" s="7" t="s">
        <v>496</v>
      </c>
      <c r="B44" s="7" t="s">
        <v>520</v>
      </c>
      <c r="C44" s="7" t="s">
        <v>521</v>
      </c>
      <c r="D44" s="7" t="s">
        <v>522</v>
      </c>
      <c r="E44" s="7" t="s">
        <v>74</v>
      </c>
      <c r="F44" s="7" t="s">
        <v>38</v>
      </c>
      <c r="G44" s="7" t="n">
        <v>8</v>
      </c>
      <c r="H44" s="7" t="s">
        <v>505</v>
      </c>
      <c r="I44" s="7" t="s">
        <v>60</v>
      </c>
      <c r="J44" s="7" t="s">
        <v>523</v>
      </c>
    </row>
    <row r="45" customFormat="false" ht="15" hidden="false" customHeight="false" outlineLevel="0" collapsed="false">
      <c r="A45" s="7" t="s">
        <v>496</v>
      </c>
      <c r="B45" s="7" t="s">
        <v>524</v>
      </c>
      <c r="C45" s="7" t="s">
        <v>525</v>
      </c>
      <c r="D45" s="7" t="s">
        <v>526</v>
      </c>
      <c r="E45" s="7" t="s">
        <v>74</v>
      </c>
      <c r="F45" s="7" t="s">
        <v>41</v>
      </c>
      <c r="G45" s="7" t="n">
        <v>4</v>
      </c>
      <c r="H45" s="7" t="s">
        <v>505</v>
      </c>
      <c r="I45" s="7" t="s">
        <v>60</v>
      </c>
      <c r="J45" s="7"/>
    </row>
    <row r="46" customFormat="false" ht="15" hidden="false" customHeight="false" outlineLevel="0" collapsed="false">
      <c r="A46" s="7" t="s">
        <v>496</v>
      </c>
      <c r="B46" s="7" t="s">
        <v>527</v>
      </c>
      <c r="C46" s="7" t="s">
        <v>528</v>
      </c>
      <c r="D46" s="7" t="s">
        <v>529</v>
      </c>
      <c r="E46" s="7" t="s">
        <v>74</v>
      </c>
      <c r="F46" s="7" t="s">
        <v>38</v>
      </c>
      <c r="G46" s="7" t="n">
        <v>4</v>
      </c>
      <c r="H46" s="7" t="s">
        <v>517</v>
      </c>
      <c r="I46" s="7" t="s">
        <v>60</v>
      </c>
      <c r="J46" s="7"/>
    </row>
    <row r="47" customFormat="false" ht="15" hidden="false" customHeight="false" outlineLevel="0" collapsed="false">
      <c r="A47" s="6" t="s">
        <v>530</v>
      </c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5" hidden="false" customHeight="false" outlineLevel="0" collapsed="false">
      <c r="A48" s="7" t="s">
        <v>531</v>
      </c>
      <c r="B48" s="7" t="s">
        <v>532</v>
      </c>
      <c r="C48" s="7" t="s">
        <v>533</v>
      </c>
      <c r="D48" s="7" t="s">
        <v>534</v>
      </c>
      <c r="E48" s="7" t="s">
        <v>74</v>
      </c>
      <c r="F48" s="7" t="s">
        <v>35</v>
      </c>
      <c r="G48" s="7" t="n">
        <v>12</v>
      </c>
      <c r="H48" s="7" t="s">
        <v>535</v>
      </c>
      <c r="I48" s="7" t="s">
        <v>60</v>
      </c>
      <c r="J48" s="7"/>
    </row>
    <row r="49" customFormat="false" ht="15" hidden="false" customHeight="false" outlineLevel="0" collapsed="false">
      <c r="A49" s="7" t="s">
        <v>531</v>
      </c>
      <c r="B49" s="7" t="s">
        <v>536</v>
      </c>
      <c r="C49" s="7" t="s">
        <v>537</v>
      </c>
      <c r="D49" s="7" t="s">
        <v>538</v>
      </c>
      <c r="E49" s="7" t="s">
        <v>74</v>
      </c>
      <c r="F49" s="7" t="s">
        <v>35</v>
      </c>
      <c r="G49" s="7" t="n">
        <v>16</v>
      </c>
      <c r="H49" s="7" t="s">
        <v>539</v>
      </c>
      <c r="I49" s="7" t="s">
        <v>60</v>
      </c>
      <c r="J49" s="7"/>
    </row>
    <row r="50" customFormat="false" ht="15" hidden="false" customHeight="false" outlineLevel="0" collapsed="false">
      <c r="A50" s="7" t="s">
        <v>531</v>
      </c>
      <c r="B50" s="7" t="s">
        <v>540</v>
      </c>
      <c r="C50" s="7" t="s">
        <v>541</v>
      </c>
      <c r="D50" s="7" t="s">
        <v>542</v>
      </c>
      <c r="E50" s="7" t="s">
        <v>74</v>
      </c>
      <c r="F50" s="7" t="s">
        <v>41</v>
      </c>
      <c r="G50" s="7" t="n">
        <v>4</v>
      </c>
      <c r="H50" s="7" t="s">
        <v>543</v>
      </c>
      <c r="I50" s="7" t="s">
        <v>60</v>
      </c>
      <c r="J50" s="7" t="s">
        <v>544</v>
      </c>
    </row>
    <row r="51" customFormat="false" ht="15" hidden="false" customHeight="false" outlineLevel="0" collapsed="false">
      <c r="A51" s="7" t="s">
        <v>531</v>
      </c>
      <c r="B51" s="7" t="s">
        <v>545</v>
      </c>
      <c r="C51" s="7" t="s">
        <v>546</v>
      </c>
      <c r="D51" s="7" t="s">
        <v>547</v>
      </c>
      <c r="E51" s="7" t="s">
        <v>74</v>
      </c>
      <c r="F51" s="7" t="s">
        <v>41</v>
      </c>
      <c r="G51" s="7" t="n">
        <v>6</v>
      </c>
      <c r="H51" s="7" t="s">
        <v>536</v>
      </c>
      <c r="I51" s="7" t="s">
        <v>60</v>
      </c>
      <c r="J51" s="7" t="s">
        <v>548</v>
      </c>
    </row>
    <row r="52" customFormat="false" ht="15" hidden="false" customHeight="false" outlineLevel="0" collapsed="false">
      <c r="A52" s="7" t="s">
        <v>531</v>
      </c>
      <c r="B52" s="7" t="s">
        <v>549</v>
      </c>
      <c r="C52" s="7" t="s">
        <v>550</v>
      </c>
      <c r="D52" s="7" t="s">
        <v>551</v>
      </c>
      <c r="E52" s="7" t="s">
        <v>74</v>
      </c>
      <c r="F52" s="7" t="s">
        <v>38</v>
      </c>
      <c r="G52" s="7" t="n">
        <v>6</v>
      </c>
      <c r="H52" s="7" t="s">
        <v>536</v>
      </c>
      <c r="I52" s="7" t="s">
        <v>60</v>
      </c>
      <c r="J52" s="7"/>
    </row>
    <row r="53" customFormat="false" ht="15" hidden="false" customHeight="false" outlineLevel="0" collapsed="false">
      <c r="A53" s="7" t="s">
        <v>531</v>
      </c>
      <c r="B53" s="7" t="s">
        <v>552</v>
      </c>
      <c r="C53" s="7" t="s">
        <v>553</v>
      </c>
      <c r="D53" s="7" t="s">
        <v>554</v>
      </c>
      <c r="E53" s="7" t="s">
        <v>74</v>
      </c>
      <c r="F53" s="7" t="s">
        <v>38</v>
      </c>
      <c r="G53" s="7" t="n">
        <v>6</v>
      </c>
      <c r="H53" s="7" t="s">
        <v>536</v>
      </c>
      <c r="I53" s="7" t="s">
        <v>60</v>
      </c>
      <c r="J53" s="7" t="s">
        <v>555</v>
      </c>
    </row>
    <row r="54" customFormat="false" ht="15" hidden="false" customHeight="false" outlineLevel="0" collapsed="false">
      <c r="A54" s="6" t="s">
        <v>556</v>
      </c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5" hidden="false" customHeight="false" outlineLevel="0" collapsed="false">
      <c r="A55" s="7" t="s">
        <v>531</v>
      </c>
      <c r="B55" s="7" t="s">
        <v>557</v>
      </c>
      <c r="C55" s="7" t="s">
        <v>558</v>
      </c>
      <c r="D55" s="7" t="s">
        <v>559</v>
      </c>
      <c r="E55" s="7" t="s">
        <v>74</v>
      </c>
      <c r="F55" s="7" t="s">
        <v>35</v>
      </c>
      <c r="G55" s="7" t="n">
        <v>12</v>
      </c>
      <c r="H55" s="7" t="s">
        <v>505</v>
      </c>
      <c r="I55" s="7" t="s">
        <v>60</v>
      </c>
      <c r="J55" s="7"/>
    </row>
    <row r="56" customFormat="false" ht="15" hidden="false" customHeight="false" outlineLevel="0" collapsed="false">
      <c r="A56" s="7" t="s">
        <v>531</v>
      </c>
      <c r="B56" s="7" t="s">
        <v>560</v>
      </c>
      <c r="C56" s="7" t="s">
        <v>561</v>
      </c>
      <c r="D56" s="7" t="s">
        <v>562</v>
      </c>
      <c r="E56" s="7" t="s">
        <v>74</v>
      </c>
      <c r="F56" s="7" t="s">
        <v>35</v>
      </c>
      <c r="G56" s="7" t="n">
        <v>20</v>
      </c>
      <c r="H56" s="7" t="s">
        <v>563</v>
      </c>
      <c r="I56" s="7" t="s">
        <v>60</v>
      </c>
      <c r="J56" s="7"/>
    </row>
    <row r="57" customFormat="false" ht="15" hidden="false" customHeight="false" outlineLevel="0" collapsed="false">
      <c r="A57" s="7" t="s">
        <v>531</v>
      </c>
      <c r="B57" s="7" t="s">
        <v>564</v>
      </c>
      <c r="C57" s="7" t="s">
        <v>565</v>
      </c>
      <c r="D57" s="7" t="s">
        <v>566</v>
      </c>
      <c r="E57" s="7" t="s">
        <v>74</v>
      </c>
      <c r="F57" s="7" t="s">
        <v>38</v>
      </c>
      <c r="G57" s="7" t="n">
        <v>10</v>
      </c>
      <c r="H57" s="7" t="s">
        <v>560</v>
      </c>
      <c r="I57" s="7" t="s">
        <v>60</v>
      </c>
      <c r="J57" s="7"/>
    </row>
    <row r="58" customFormat="false" ht="15" hidden="false" customHeight="false" outlineLevel="0" collapsed="false">
      <c r="A58" s="7" t="s">
        <v>531</v>
      </c>
      <c r="B58" s="7" t="s">
        <v>567</v>
      </c>
      <c r="C58" s="7" t="s">
        <v>568</v>
      </c>
      <c r="D58" s="7" t="s">
        <v>569</v>
      </c>
      <c r="E58" s="7" t="s">
        <v>74</v>
      </c>
      <c r="F58" s="7" t="s">
        <v>35</v>
      </c>
      <c r="G58" s="7" t="n">
        <v>12</v>
      </c>
      <c r="H58" s="7" t="s">
        <v>570</v>
      </c>
      <c r="I58" s="7" t="s">
        <v>60</v>
      </c>
      <c r="J58" s="7"/>
    </row>
    <row r="59" customFormat="false" ht="15" hidden="false" customHeight="false" outlineLevel="0" collapsed="false">
      <c r="A59" s="7" t="s">
        <v>531</v>
      </c>
      <c r="B59" s="7" t="s">
        <v>571</v>
      </c>
      <c r="C59" s="7" t="s">
        <v>572</v>
      </c>
      <c r="D59" s="7" t="s">
        <v>573</v>
      </c>
      <c r="E59" s="7" t="s">
        <v>74</v>
      </c>
      <c r="F59" s="7" t="s">
        <v>38</v>
      </c>
      <c r="G59" s="7" t="n">
        <v>6</v>
      </c>
      <c r="H59" s="7" t="s">
        <v>560</v>
      </c>
      <c r="I59" s="7" t="s">
        <v>60</v>
      </c>
      <c r="J59" s="7"/>
    </row>
    <row r="60" customFormat="false" ht="23.85" hidden="false" customHeight="false" outlineLevel="0" collapsed="false">
      <c r="A60" s="6" t="s">
        <v>574</v>
      </c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" hidden="false" customHeight="false" outlineLevel="0" collapsed="false">
      <c r="A61" s="7" t="s">
        <v>531</v>
      </c>
      <c r="B61" s="7" t="s">
        <v>575</v>
      </c>
      <c r="C61" s="7" t="s">
        <v>576</v>
      </c>
      <c r="D61" s="7" t="s">
        <v>577</v>
      </c>
      <c r="E61" s="7" t="s">
        <v>74</v>
      </c>
      <c r="F61" s="7" t="s">
        <v>38</v>
      </c>
      <c r="G61" s="7" t="n">
        <v>10</v>
      </c>
      <c r="H61" s="7" t="s">
        <v>578</v>
      </c>
      <c r="I61" s="7" t="s">
        <v>60</v>
      </c>
      <c r="J61" s="7"/>
    </row>
    <row r="62" customFormat="false" ht="15" hidden="false" customHeight="false" outlineLevel="0" collapsed="false">
      <c r="A62" s="7" t="s">
        <v>531</v>
      </c>
      <c r="B62" s="7" t="s">
        <v>579</v>
      </c>
      <c r="C62" s="7" t="s">
        <v>580</v>
      </c>
      <c r="D62" s="7" t="s">
        <v>581</v>
      </c>
      <c r="E62" s="7" t="s">
        <v>74</v>
      </c>
      <c r="F62" s="7" t="s">
        <v>41</v>
      </c>
      <c r="G62" s="7" t="n">
        <v>10</v>
      </c>
      <c r="H62" s="7" t="s">
        <v>582</v>
      </c>
      <c r="I62" s="7" t="s">
        <v>60</v>
      </c>
      <c r="J62" s="7" t="s">
        <v>583</v>
      </c>
    </row>
    <row r="63" customFormat="false" ht="15" hidden="false" customHeight="false" outlineLevel="0" collapsed="false">
      <c r="A63" s="7" t="s">
        <v>531</v>
      </c>
      <c r="B63" s="7" t="s">
        <v>584</v>
      </c>
      <c r="C63" s="7" t="s">
        <v>585</v>
      </c>
      <c r="D63" s="7" t="s">
        <v>586</v>
      </c>
      <c r="E63" s="7" t="s">
        <v>59</v>
      </c>
      <c r="F63" s="7" t="s">
        <v>41</v>
      </c>
      <c r="G63" s="7" t="n">
        <v>8</v>
      </c>
      <c r="H63" s="7" t="s">
        <v>505</v>
      </c>
      <c r="I63" s="7" t="s">
        <v>60</v>
      </c>
      <c r="J63" s="7"/>
    </row>
    <row r="64" customFormat="false" ht="15" hidden="false" customHeight="false" outlineLevel="0" collapsed="false">
      <c r="A64" s="7" t="s">
        <v>531</v>
      </c>
      <c r="B64" s="7" t="s">
        <v>587</v>
      </c>
      <c r="C64" s="7" t="s">
        <v>588</v>
      </c>
      <c r="D64" s="7" t="s">
        <v>589</v>
      </c>
      <c r="E64" s="7" t="s">
        <v>59</v>
      </c>
      <c r="F64" s="7" t="s">
        <v>43</v>
      </c>
      <c r="G64" s="7" t="n">
        <v>16</v>
      </c>
      <c r="H64" s="7" t="s">
        <v>590</v>
      </c>
      <c r="I64" s="7" t="s">
        <v>60</v>
      </c>
      <c r="J64" s="7" t="s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23.85" hidden="false" customHeight="false" outlineLevel="0" collapsed="false">
      <c r="A2" s="6" t="s">
        <v>592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23.85" hidden="false" customHeight="false" outlineLevel="0" collapsed="false">
      <c r="A3" s="7" t="s">
        <v>593</v>
      </c>
      <c r="B3" s="7" t="s">
        <v>594</v>
      </c>
      <c r="C3" s="7" t="s">
        <v>595</v>
      </c>
      <c r="D3" s="7" t="s">
        <v>596</v>
      </c>
      <c r="E3" s="7" t="s">
        <v>69</v>
      </c>
      <c r="F3" s="7" t="s">
        <v>35</v>
      </c>
      <c r="G3" s="7" t="n">
        <v>12</v>
      </c>
      <c r="H3" s="7"/>
      <c r="I3" s="7" t="s">
        <v>60</v>
      </c>
      <c r="J3" s="7" t="s">
        <v>597</v>
      </c>
    </row>
    <row r="4" customFormat="false" ht="23.85" hidden="false" customHeight="false" outlineLevel="0" collapsed="false">
      <c r="A4" s="7" t="s">
        <v>593</v>
      </c>
      <c r="B4" s="7" t="s">
        <v>598</v>
      </c>
      <c r="C4" s="7" t="s">
        <v>599</v>
      </c>
      <c r="D4" s="7" t="s">
        <v>600</v>
      </c>
      <c r="E4" s="7" t="s">
        <v>74</v>
      </c>
      <c r="F4" s="7" t="s">
        <v>38</v>
      </c>
      <c r="G4" s="7" t="n">
        <v>6</v>
      </c>
      <c r="H4" s="7" t="s">
        <v>594</v>
      </c>
      <c r="I4" s="7" t="s">
        <v>60</v>
      </c>
      <c r="J4" s="7"/>
    </row>
    <row r="5" customFormat="false" ht="23.85" hidden="false" customHeight="false" outlineLevel="0" collapsed="false">
      <c r="A5" s="7" t="s">
        <v>593</v>
      </c>
      <c r="B5" s="7" t="s">
        <v>601</v>
      </c>
      <c r="C5" s="7" t="s">
        <v>602</v>
      </c>
      <c r="D5" s="7" t="s">
        <v>603</v>
      </c>
      <c r="E5" s="7" t="s">
        <v>74</v>
      </c>
      <c r="F5" s="7" t="s">
        <v>35</v>
      </c>
      <c r="G5" s="7" t="n">
        <v>12</v>
      </c>
      <c r="H5" s="7" t="s">
        <v>604</v>
      </c>
      <c r="I5" s="7" t="s">
        <v>60</v>
      </c>
      <c r="J5" s="7"/>
    </row>
    <row r="6" customFormat="false" ht="23.85" hidden="false" customHeight="false" outlineLevel="0" collapsed="false">
      <c r="A6" s="7" t="s">
        <v>593</v>
      </c>
      <c r="B6" s="7" t="s">
        <v>605</v>
      </c>
      <c r="C6" s="7" t="s">
        <v>606</v>
      </c>
      <c r="D6" s="7" t="s">
        <v>607</v>
      </c>
      <c r="E6" s="7" t="s">
        <v>74</v>
      </c>
      <c r="F6" s="7" t="s">
        <v>38</v>
      </c>
      <c r="G6" s="7" t="n">
        <v>10</v>
      </c>
      <c r="H6" s="7" t="s">
        <v>601</v>
      </c>
      <c r="I6" s="7" t="s">
        <v>60</v>
      </c>
      <c r="J6" s="7" t="s">
        <v>608</v>
      </c>
    </row>
    <row r="7" customFormat="false" ht="23.85" hidden="false" customHeight="false" outlineLevel="0" collapsed="false">
      <c r="A7" s="7" t="s">
        <v>593</v>
      </c>
      <c r="B7" s="7" t="s">
        <v>609</v>
      </c>
      <c r="C7" s="7" t="s">
        <v>610</v>
      </c>
      <c r="D7" s="7" t="s">
        <v>611</v>
      </c>
      <c r="E7" s="7" t="s">
        <v>74</v>
      </c>
      <c r="F7" s="7" t="s">
        <v>38</v>
      </c>
      <c r="G7" s="7" t="n">
        <v>8</v>
      </c>
      <c r="H7" s="7" t="s">
        <v>605</v>
      </c>
      <c r="I7" s="7" t="s">
        <v>60</v>
      </c>
      <c r="J7" s="7" t="s">
        <v>612</v>
      </c>
    </row>
    <row r="8" customFormat="false" ht="23.85" hidden="false" customHeight="false" outlineLevel="0" collapsed="false">
      <c r="A8" s="7" t="s">
        <v>593</v>
      </c>
      <c r="B8" s="7" t="s">
        <v>613</v>
      </c>
      <c r="C8" s="7" t="s">
        <v>614</v>
      </c>
      <c r="D8" s="7" t="s">
        <v>615</v>
      </c>
      <c r="E8" s="7" t="s">
        <v>74</v>
      </c>
      <c r="F8" s="7" t="s">
        <v>35</v>
      </c>
      <c r="G8" s="7" t="n">
        <v>10</v>
      </c>
      <c r="H8" s="7" t="s">
        <v>605</v>
      </c>
      <c r="I8" s="7" t="s">
        <v>60</v>
      </c>
      <c r="J8" s="7" t="s">
        <v>616</v>
      </c>
    </row>
    <row r="9" customFormat="false" ht="23.85" hidden="false" customHeight="false" outlineLevel="0" collapsed="false">
      <c r="A9" s="7" t="s">
        <v>593</v>
      </c>
      <c r="B9" s="7" t="s">
        <v>617</v>
      </c>
      <c r="C9" s="7" t="s">
        <v>618</v>
      </c>
      <c r="D9" s="7" t="s">
        <v>619</v>
      </c>
      <c r="E9" s="7" t="s">
        <v>74</v>
      </c>
      <c r="F9" s="7" t="s">
        <v>35</v>
      </c>
      <c r="G9" s="7" t="n">
        <v>16</v>
      </c>
      <c r="H9" s="7" t="s">
        <v>605</v>
      </c>
      <c r="I9" s="7" t="s">
        <v>60</v>
      </c>
      <c r="J9" s="7" t="s">
        <v>620</v>
      </c>
    </row>
    <row r="10" customFormat="false" ht="23.85" hidden="false" customHeight="false" outlineLevel="0" collapsed="false">
      <c r="A10" s="7" t="s">
        <v>593</v>
      </c>
      <c r="B10" s="7" t="s">
        <v>621</v>
      </c>
      <c r="C10" s="7" t="s">
        <v>622</v>
      </c>
      <c r="D10" s="7" t="s">
        <v>623</v>
      </c>
      <c r="E10" s="7" t="s">
        <v>74</v>
      </c>
      <c r="F10" s="7" t="s">
        <v>38</v>
      </c>
      <c r="G10" s="7" t="n">
        <v>12</v>
      </c>
      <c r="H10" s="7" t="s">
        <v>617</v>
      </c>
      <c r="I10" s="7" t="s">
        <v>60</v>
      </c>
      <c r="J10" s="7" t="s">
        <v>624</v>
      </c>
    </row>
    <row r="11" customFormat="false" ht="23.85" hidden="false" customHeight="false" outlineLevel="0" collapsed="false">
      <c r="A11" s="7" t="s">
        <v>593</v>
      </c>
      <c r="B11" s="7" t="s">
        <v>625</v>
      </c>
      <c r="C11" s="7" t="s">
        <v>626</v>
      </c>
      <c r="D11" s="7" t="s">
        <v>627</v>
      </c>
      <c r="E11" s="7" t="s">
        <v>74</v>
      </c>
      <c r="F11" s="7" t="s">
        <v>38</v>
      </c>
      <c r="G11" s="7" t="n">
        <v>8</v>
      </c>
      <c r="H11" s="7" t="s">
        <v>617</v>
      </c>
      <c r="I11" s="7" t="s">
        <v>60</v>
      </c>
      <c r="J11" s="7"/>
    </row>
    <row r="12" customFormat="false" ht="23.85" hidden="false" customHeight="false" outlineLevel="0" collapsed="false">
      <c r="A12" s="7" t="s">
        <v>593</v>
      </c>
      <c r="B12" s="7" t="s">
        <v>628</v>
      </c>
      <c r="C12" s="7" t="s">
        <v>629</v>
      </c>
      <c r="D12" s="7" t="s">
        <v>630</v>
      </c>
      <c r="E12" s="7" t="s">
        <v>74</v>
      </c>
      <c r="F12" s="7" t="s">
        <v>41</v>
      </c>
      <c r="G12" s="7" t="n">
        <v>10</v>
      </c>
      <c r="H12" s="7" t="s">
        <v>625</v>
      </c>
      <c r="I12" s="7" t="s">
        <v>60</v>
      </c>
      <c r="J12" s="7"/>
    </row>
    <row r="13" customFormat="false" ht="23.85" hidden="false" customHeight="false" outlineLevel="0" collapsed="false">
      <c r="A13" s="7" t="s">
        <v>593</v>
      </c>
      <c r="B13" s="7" t="s">
        <v>631</v>
      </c>
      <c r="C13" s="7" t="s">
        <v>632</v>
      </c>
      <c r="D13" s="7" t="s">
        <v>633</v>
      </c>
      <c r="E13" s="7" t="s">
        <v>373</v>
      </c>
      <c r="F13" s="7" t="s">
        <v>41</v>
      </c>
      <c r="G13" s="7" t="n">
        <v>12</v>
      </c>
      <c r="H13" s="7" t="s">
        <v>594</v>
      </c>
      <c r="I13" s="7" t="s">
        <v>60</v>
      </c>
      <c r="J13" s="7" t="s">
        <v>634</v>
      </c>
    </row>
    <row r="14" customFormat="false" ht="23.85" hidden="false" customHeight="false" outlineLevel="0" collapsed="false">
      <c r="A14" s="7" t="s">
        <v>593</v>
      </c>
      <c r="B14" s="7" t="s">
        <v>635</v>
      </c>
      <c r="C14" s="7" t="s">
        <v>636</v>
      </c>
      <c r="D14" s="7" t="s">
        <v>637</v>
      </c>
      <c r="E14" s="7" t="s">
        <v>74</v>
      </c>
      <c r="F14" s="7" t="s">
        <v>41</v>
      </c>
      <c r="G14" s="7" t="n">
        <v>4</v>
      </c>
      <c r="H14" s="7" t="s">
        <v>617</v>
      </c>
      <c r="I14" s="7" t="s">
        <v>60</v>
      </c>
      <c r="J14" s="7" t="s">
        <v>638</v>
      </c>
    </row>
    <row r="15" customFormat="false" ht="23.85" hidden="false" customHeight="false" outlineLevel="0" collapsed="false">
      <c r="A15" s="7" t="s">
        <v>593</v>
      </c>
      <c r="B15" s="7" t="s">
        <v>639</v>
      </c>
      <c r="C15" s="7" t="s">
        <v>640</v>
      </c>
      <c r="D15" s="7" t="s">
        <v>641</v>
      </c>
      <c r="E15" s="7" t="s">
        <v>74</v>
      </c>
      <c r="F15" s="7" t="s">
        <v>43</v>
      </c>
      <c r="G15" s="7" t="n">
        <v>16</v>
      </c>
      <c r="H15" s="7" t="s">
        <v>617</v>
      </c>
      <c r="I15" s="7" t="s">
        <v>60</v>
      </c>
      <c r="J15" s="7" t="s">
        <v>642</v>
      </c>
    </row>
    <row r="16" customFormat="false" ht="23.85" hidden="false" customHeight="false" outlineLevel="0" collapsed="false">
      <c r="A16" s="6" t="s">
        <v>643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23.85" hidden="false" customHeight="false" outlineLevel="0" collapsed="false">
      <c r="A17" s="7" t="s">
        <v>644</v>
      </c>
      <c r="B17" s="7" t="s">
        <v>645</v>
      </c>
      <c r="C17" s="7" t="s">
        <v>646</v>
      </c>
      <c r="D17" s="7" t="s">
        <v>647</v>
      </c>
      <c r="E17" s="7" t="s">
        <v>74</v>
      </c>
      <c r="F17" s="7" t="s">
        <v>35</v>
      </c>
      <c r="G17" s="7" t="n">
        <v>10</v>
      </c>
      <c r="H17" s="7" t="s">
        <v>604</v>
      </c>
      <c r="I17" s="7" t="s">
        <v>60</v>
      </c>
      <c r="J17" s="7" t="s">
        <v>648</v>
      </c>
    </row>
    <row r="18" customFormat="false" ht="23.85" hidden="false" customHeight="false" outlineLevel="0" collapsed="false">
      <c r="A18" s="7" t="s">
        <v>644</v>
      </c>
      <c r="B18" s="7" t="s">
        <v>649</v>
      </c>
      <c r="C18" s="7" t="s">
        <v>650</v>
      </c>
      <c r="D18" s="7" t="s">
        <v>651</v>
      </c>
      <c r="E18" s="7" t="s">
        <v>74</v>
      </c>
      <c r="F18" s="7" t="s">
        <v>38</v>
      </c>
      <c r="G18" s="7" t="n">
        <v>6</v>
      </c>
      <c r="H18" s="7" t="s">
        <v>645</v>
      </c>
      <c r="I18" s="7" t="s">
        <v>60</v>
      </c>
      <c r="J18" s="7"/>
    </row>
    <row r="19" customFormat="false" ht="23.85" hidden="false" customHeight="false" outlineLevel="0" collapsed="false">
      <c r="A19" s="7" t="s">
        <v>644</v>
      </c>
      <c r="B19" s="7" t="s">
        <v>652</v>
      </c>
      <c r="C19" s="7" t="s">
        <v>653</v>
      </c>
      <c r="D19" s="7" t="s">
        <v>654</v>
      </c>
      <c r="E19" s="7" t="s">
        <v>74</v>
      </c>
      <c r="F19" s="7" t="s">
        <v>38</v>
      </c>
      <c r="G19" s="7" t="n">
        <v>10</v>
      </c>
      <c r="H19" s="7" t="s">
        <v>645</v>
      </c>
      <c r="I19" s="7" t="s">
        <v>60</v>
      </c>
      <c r="J19" s="7" t="s">
        <v>655</v>
      </c>
    </row>
    <row r="20" customFormat="false" ht="23.85" hidden="false" customHeight="false" outlineLevel="0" collapsed="false">
      <c r="A20" s="7" t="s">
        <v>644</v>
      </c>
      <c r="B20" s="7" t="s">
        <v>656</v>
      </c>
      <c r="C20" s="7" t="s">
        <v>657</v>
      </c>
      <c r="D20" s="7" t="s">
        <v>658</v>
      </c>
      <c r="E20" s="7" t="s">
        <v>74</v>
      </c>
      <c r="F20" s="7" t="s">
        <v>38</v>
      </c>
      <c r="G20" s="7" t="n">
        <v>6</v>
      </c>
      <c r="H20" s="7" t="s">
        <v>659</v>
      </c>
      <c r="I20" s="7" t="s">
        <v>60</v>
      </c>
      <c r="J20" s="7"/>
    </row>
    <row r="21" customFormat="false" ht="23.85" hidden="false" customHeight="false" outlineLevel="0" collapsed="false">
      <c r="A21" s="7" t="s">
        <v>644</v>
      </c>
      <c r="B21" s="7" t="s">
        <v>660</v>
      </c>
      <c r="C21" s="7" t="s">
        <v>661</v>
      </c>
      <c r="D21" s="7" t="s">
        <v>662</v>
      </c>
      <c r="E21" s="7" t="s">
        <v>74</v>
      </c>
      <c r="F21" s="7" t="s">
        <v>43</v>
      </c>
      <c r="G21" s="7" t="n">
        <v>16</v>
      </c>
      <c r="H21" s="7" t="s">
        <v>645</v>
      </c>
      <c r="I21" s="7" t="s">
        <v>60</v>
      </c>
      <c r="J21" s="7" t="s">
        <v>642</v>
      </c>
    </row>
    <row r="22" customFormat="false" ht="23.85" hidden="false" customHeight="false" outlineLevel="0" collapsed="false">
      <c r="A22" s="7" t="s">
        <v>644</v>
      </c>
      <c r="B22" s="7" t="s">
        <v>663</v>
      </c>
      <c r="C22" s="7" t="s">
        <v>664</v>
      </c>
      <c r="D22" s="7" t="s">
        <v>665</v>
      </c>
      <c r="E22" s="7" t="s">
        <v>74</v>
      </c>
      <c r="F22" s="7" t="s">
        <v>41</v>
      </c>
      <c r="G22" s="7" t="n">
        <v>8</v>
      </c>
      <c r="H22" s="7" t="s">
        <v>601</v>
      </c>
      <c r="I22" s="7" t="s">
        <v>60</v>
      </c>
      <c r="J22" s="7" t="s">
        <v>666</v>
      </c>
    </row>
    <row r="23" customFormat="false" ht="15" hidden="false" customHeight="false" outlineLevel="0" collapsed="false">
      <c r="A23" s="6" t="s">
        <v>667</v>
      </c>
      <c r="B23" s="6"/>
      <c r="C23" s="6"/>
      <c r="D23" s="6"/>
      <c r="E23" s="6"/>
      <c r="F23" s="6"/>
      <c r="G23" s="6"/>
      <c r="H23" s="6"/>
      <c r="I23" s="6"/>
      <c r="J23" s="6"/>
    </row>
    <row r="24" customFormat="false" ht="23.85" hidden="false" customHeight="false" outlineLevel="0" collapsed="false">
      <c r="A24" s="7" t="s">
        <v>668</v>
      </c>
      <c r="B24" s="7" t="s">
        <v>669</v>
      </c>
      <c r="C24" s="7" t="s">
        <v>670</v>
      </c>
      <c r="D24" s="7" t="s">
        <v>671</v>
      </c>
      <c r="E24" s="7" t="s">
        <v>74</v>
      </c>
      <c r="F24" s="7" t="s">
        <v>41</v>
      </c>
      <c r="G24" s="7" t="n">
        <v>6</v>
      </c>
      <c r="H24" s="7" t="s">
        <v>617</v>
      </c>
      <c r="I24" s="7" t="s">
        <v>60</v>
      </c>
      <c r="J24" s="7" t="s">
        <v>672</v>
      </c>
    </row>
    <row r="25" customFormat="false" ht="23.85" hidden="false" customHeight="false" outlineLevel="0" collapsed="false">
      <c r="A25" s="7" t="s">
        <v>668</v>
      </c>
      <c r="B25" s="7" t="s">
        <v>673</v>
      </c>
      <c r="C25" s="7" t="s">
        <v>674</v>
      </c>
      <c r="D25" s="7" t="s">
        <v>675</v>
      </c>
      <c r="E25" s="7" t="s">
        <v>74</v>
      </c>
      <c r="F25" s="7" t="s">
        <v>38</v>
      </c>
      <c r="G25" s="7" t="n">
        <v>4</v>
      </c>
      <c r="H25" s="7" t="s">
        <v>617</v>
      </c>
      <c r="I25" s="7" t="s">
        <v>60</v>
      </c>
      <c r="J25" s="7"/>
    </row>
    <row r="26" customFormat="false" ht="23.85" hidden="false" customHeight="false" outlineLevel="0" collapsed="false">
      <c r="A26" s="7" t="s">
        <v>668</v>
      </c>
      <c r="B26" s="7" t="s">
        <v>676</v>
      </c>
      <c r="C26" s="7" t="s">
        <v>677</v>
      </c>
      <c r="D26" s="7" t="s">
        <v>678</v>
      </c>
      <c r="E26" s="7" t="s">
        <v>74</v>
      </c>
      <c r="F26" s="7" t="s">
        <v>41</v>
      </c>
      <c r="G26" s="7" t="n">
        <v>6</v>
      </c>
      <c r="H26" s="7" t="s">
        <v>609</v>
      </c>
      <c r="I26" s="7" t="s">
        <v>60</v>
      </c>
      <c r="J26" s="7" t="s">
        <v>679</v>
      </c>
    </row>
    <row r="27" customFormat="false" ht="23.85" hidden="false" customHeight="false" outlineLevel="0" collapsed="false">
      <c r="A27" s="7" t="s">
        <v>668</v>
      </c>
      <c r="B27" s="7" t="s">
        <v>680</v>
      </c>
      <c r="C27" s="7" t="s">
        <v>681</v>
      </c>
      <c r="D27" s="7" t="s">
        <v>682</v>
      </c>
      <c r="E27" s="7" t="s">
        <v>74</v>
      </c>
      <c r="F27" s="7" t="s">
        <v>43</v>
      </c>
      <c r="G27" s="7" t="n">
        <v>12</v>
      </c>
      <c r="H27" s="7" t="s">
        <v>609</v>
      </c>
      <c r="I27" s="7" t="s">
        <v>60</v>
      </c>
      <c r="J27" s="7" t="s">
        <v>683</v>
      </c>
    </row>
    <row r="28" customFormat="false" ht="23.85" hidden="false" customHeight="false" outlineLevel="0" collapsed="false">
      <c r="A28" s="7" t="s">
        <v>668</v>
      </c>
      <c r="B28" s="7" t="s">
        <v>684</v>
      </c>
      <c r="C28" s="7" t="s">
        <v>685</v>
      </c>
      <c r="D28" s="7" t="s">
        <v>686</v>
      </c>
      <c r="E28" s="7" t="s">
        <v>74</v>
      </c>
      <c r="F28" s="7" t="s">
        <v>38</v>
      </c>
      <c r="G28" s="7" t="n">
        <v>8</v>
      </c>
      <c r="H28" s="7" t="s">
        <v>613</v>
      </c>
      <c r="I28" s="7" t="s">
        <v>60</v>
      </c>
      <c r="J28" s="7" t="s">
        <v>687</v>
      </c>
    </row>
    <row r="29" customFormat="false" ht="23.85" hidden="false" customHeight="false" outlineLevel="0" collapsed="false">
      <c r="A29" s="7" t="s">
        <v>668</v>
      </c>
      <c r="B29" s="7" t="s">
        <v>688</v>
      </c>
      <c r="C29" s="7" t="s">
        <v>689</v>
      </c>
      <c r="D29" s="7" t="s">
        <v>690</v>
      </c>
      <c r="E29" s="7" t="s">
        <v>74</v>
      </c>
      <c r="F29" s="7" t="s">
        <v>41</v>
      </c>
      <c r="G29" s="7" t="n">
        <v>10</v>
      </c>
      <c r="H29" s="7" t="s">
        <v>613</v>
      </c>
      <c r="I29" s="7" t="s">
        <v>60</v>
      </c>
      <c r="J29" s="7"/>
    </row>
    <row r="30" customFormat="false" ht="15" hidden="false" customHeight="false" outlineLevel="0" collapsed="false">
      <c r="A30" s="6" t="s">
        <v>691</v>
      </c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" hidden="false" customHeight="false" outlineLevel="0" collapsed="false">
      <c r="A31" s="7" t="s">
        <v>692</v>
      </c>
      <c r="B31" s="7" t="s">
        <v>693</v>
      </c>
      <c r="C31" s="7" t="s">
        <v>694</v>
      </c>
      <c r="D31" s="7" t="s">
        <v>695</v>
      </c>
      <c r="E31" s="7" t="s">
        <v>59</v>
      </c>
      <c r="F31" s="7" t="s">
        <v>35</v>
      </c>
      <c r="G31" s="7" t="n">
        <v>4</v>
      </c>
      <c r="H31" s="7"/>
      <c r="I31" s="7" t="s">
        <v>60</v>
      </c>
      <c r="J31" s="7" t="s">
        <v>696</v>
      </c>
    </row>
    <row r="32" customFormat="false" ht="15" hidden="false" customHeight="false" outlineLevel="0" collapsed="false">
      <c r="A32" s="7" t="s">
        <v>692</v>
      </c>
      <c r="B32" s="7" t="s">
        <v>697</v>
      </c>
      <c r="C32" s="7" t="s">
        <v>698</v>
      </c>
      <c r="D32" s="7" t="s">
        <v>699</v>
      </c>
      <c r="E32" s="7" t="s">
        <v>59</v>
      </c>
      <c r="F32" s="7" t="s">
        <v>35</v>
      </c>
      <c r="G32" s="7" t="n">
        <v>4</v>
      </c>
      <c r="H32" s="7" t="s">
        <v>693</v>
      </c>
      <c r="I32" s="7" t="s">
        <v>60</v>
      </c>
      <c r="J32" s="7" t="s">
        <v>700</v>
      </c>
    </row>
    <row r="33" customFormat="false" ht="15" hidden="false" customHeight="false" outlineLevel="0" collapsed="false">
      <c r="A33" s="7" t="s">
        <v>692</v>
      </c>
      <c r="B33" s="7" t="s">
        <v>604</v>
      </c>
      <c r="C33" s="7" t="s">
        <v>701</v>
      </c>
      <c r="D33" s="7" t="s">
        <v>702</v>
      </c>
      <c r="E33" s="7" t="s">
        <v>74</v>
      </c>
      <c r="F33" s="7" t="s">
        <v>35</v>
      </c>
      <c r="G33" s="7" t="n">
        <v>12</v>
      </c>
      <c r="H33" s="7" t="s">
        <v>703</v>
      </c>
      <c r="I33" s="7" t="s">
        <v>60</v>
      </c>
      <c r="J33" s="7" t="s">
        <v>704</v>
      </c>
    </row>
    <row r="34" customFormat="false" ht="15" hidden="false" customHeight="false" outlineLevel="0" collapsed="false">
      <c r="A34" s="7" t="s">
        <v>692</v>
      </c>
      <c r="B34" s="7" t="s">
        <v>705</v>
      </c>
      <c r="C34" s="7" t="s">
        <v>706</v>
      </c>
      <c r="D34" s="7" t="s">
        <v>707</v>
      </c>
      <c r="E34" s="7" t="s">
        <v>74</v>
      </c>
      <c r="F34" s="7" t="s">
        <v>38</v>
      </c>
      <c r="G34" s="7" t="n">
        <v>6</v>
      </c>
      <c r="H34" s="7" t="s">
        <v>604</v>
      </c>
      <c r="I34" s="7" t="s">
        <v>60</v>
      </c>
      <c r="J34" s="7"/>
    </row>
    <row r="35" customFormat="false" ht="15" hidden="false" customHeight="false" outlineLevel="0" collapsed="false">
      <c r="A35" s="7" t="s">
        <v>692</v>
      </c>
      <c r="B35" s="7" t="s">
        <v>708</v>
      </c>
      <c r="C35" s="7" t="s">
        <v>709</v>
      </c>
      <c r="D35" s="7" t="s">
        <v>710</v>
      </c>
      <c r="E35" s="7" t="s">
        <v>74</v>
      </c>
      <c r="F35" s="7" t="s">
        <v>35</v>
      </c>
      <c r="G35" s="7" t="n">
        <v>10</v>
      </c>
      <c r="H35" s="7" t="s">
        <v>604</v>
      </c>
      <c r="I35" s="7" t="s">
        <v>60</v>
      </c>
      <c r="J35" s="7" t="s">
        <v>711</v>
      </c>
    </row>
    <row r="36" customFormat="false" ht="15" hidden="false" customHeight="false" outlineLevel="0" collapsed="false">
      <c r="A36" s="7" t="s">
        <v>692</v>
      </c>
      <c r="B36" s="7" t="s">
        <v>712</v>
      </c>
      <c r="C36" s="7" t="s">
        <v>713</v>
      </c>
      <c r="D36" s="7" t="s">
        <v>714</v>
      </c>
      <c r="E36" s="7" t="s">
        <v>74</v>
      </c>
      <c r="F36" s="7" t="s">
        <v>38</v>
      </c>
      <c r="G36" s="7" t="n">
        <v>8</v>
      </c>
      <c r="H36" s="7" t="s">
        <v>604</v>
      </c>
      <c r="I36" s="7" t="s">
        <v>60</v>
      </c>
      <c r="J36" s="7" t="s">
        <v>715</v>
      </c>
    </row>
    <row r="37" customFormat="false" ht="15" hidden="false" customHeight="false" outlineLevel="0" collapsed="false">
      <c r="A37" s="7" t="s">
        <v>692</v>
      </c>
      <c r="B37" s="7" t="s">
        <v>716</v>
      </c>
      <c r="C37" s="7" t="s">
        <v>717</v>
      </c>
      <c r="D37" s="7" t="s">
        <v>718</v>
      </c>
      <c r="E37" s="7" t="s">
        <v>74</v>
      </c>
      <c r="F37" s="7" t="s">
        <v>38</v>
      </c>
      <c r="G37" s="7" t="n">
        <v>8</v>
      </c>
      <c r="H37" s="7" t="s">
        <v>604</v>
      </c>
      <c r="I37" s="7" t="s">
        <v>60</v>
      </c>
      <c r="J37" s="7"/>
    </row>
    <row r="38" customFormat="false" ht="15" hidden="false" customHeight="false" outlineLevel="0" collapsed="false">
      <c r="A38" s="7" t="s">
        <v>692</v>
      </c>
      <c r="B38" s="7" t="s">
        <v>719</v>
      </c>
      <c r="C38" s="7" t="s">
        <v>720</v>
      </c>
      <c r="D38" s="7" t="s">
        <v>721</v>
      </c>
      <c r="E38" s="7" t="s">
        <v>74</v>
      </c>
      <c r="F38" s="7" t="s">
        <v>38</v>
      </c>
      <c r="G38" s="7" t="n">
        <v>6</v>
      </c>
      <c r="H38" s="7" t="s">
        <v>604</v>
      </c>
      <c r="I38" s="7" t="s">
        <v>60</v>
      </c>
      <c r="J38" s="7"/>
    </row>
    <row r="39" customFormat="false" ht="15" hidden="false" customHeight="false" outlineLevel="0" collapsed="false">
      <c r="A39" s="7" t="s">
        <v>692</v>
      </c>
      <c r="B39" s="7" t="s">
        <v>722</v>
      </c>
      <c r="C39" s="7" t="s">
        <v>723</v>
      </c>
      <c r="D39" s="7" t="s">
        <v>724</v>
      </c>
      <c r="E39" s="7" t="s">
        <v>74</v>
      </c>
      <c r="F39" s="7" t="s">
        <v>38</v>
      </c>
      <c r="G39" s="7" t="n">
        <v>6</v>
      </c>
      <c r="H39" s="7" t="s">
        <v>604</v>
      </c>
      <c r="I39" s="7" t="s">
        <v>60</v>
      </c>
      <c r="J39" s="7" t="s">
        <v>725</v>
      </c>
    </row>
    <row r="40" customFormat="false" ht="15" hidden="false" customHeight="false" outlineLevel="0" collapsed="false">
      <c r="A40" s="6" t="s">
        <v>726</v>
      </c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7" t="s">
        <v>727</v>
      </c>
      <c r="B41" s="7" t="s">
        <v>728</v>
      </c>
      <c r="C41" s="7" t="s">
        <v>729</v>
      </c>
      <c r="D41" s="7" t="s">
        <v>730</v>
      </c>
      <c r="E41" s="7" t="s">
        <v>59</v>
      </c>
      <c r="F41" s="7" t="s">
        <v>38</v>
      </c>
      <c r="G41" s="7" t="n">
        <v>4</v>
      </c>
      <c r="H41" s="7"/>
      <c r="I41" s="7" t="s">
        <v>60</v>
      </c>
      <c r="J41" s="7" t="s">
        <v>731</v>
      </c>
    </row>
    <row r="42" customFormat="false" ht="15" hidden="false" customHeight="false" outlineLevel="0" collapsed="false">
      <c r="A42" s="7" t="s">
        <v>727</v>
      </c>
      <c r="B42" s="7" t="s">
        <v>732</v>
      </c>
      <c r="C42" s="7" t="s">
        <v>733</v>
      </c>
      <c r="D42" s="7" t="s">
        <v>734</v>
      </c>
      <c r="E42" s="7" t="s">
        <v>74</v>
      </c>
      <c r="F42" s="7" t="s">
        <v>38</v>
      </c>
      <c r="G42" s="7" t="n">
        <v>8</v>
      </c>
      <c r="H42" s="7" t="s">
        <v>728</v>
      </c>
      <c r="I42" s="7" t="s">
        <v>60</v>
      </c>
      <c r="J42" s="7"/>
    </row>
    <row r="43" customFormat="false" ht="15" hidden="false" customHeight="false" outlineLevel="0" collapsed="false">
      <c r="A43" s="7" t="s">
        <v>727</v>
      </c>
      <c r="B43" s="7" t="s">
        <v>735</v>
      </c>
      <c r="C43" s="7" t="s">
        <v>736</v>
      </c>
      <c r="D43" s="7" t="s">
        <v>737</v>
      </c>
      <c r="E43" s="7" t="s">
        <v>74</v>
      </c>
      <c r="F43" s="7" t="s">
        <v>38</v>
      </c>
      <c r="G43" s="7" t="n">
        <v>10</v>
      </c>
      <c r="H43" s="7" t="s">
        <v>728</v>
      </c>
      <c r="I43" s="7" t="s">
        <v>60</v>
      </c>
      <c r="J43" s="7" t="s">
        <v>738</v>
      </c>
    </row>
    <row r="44" customFormat="false" ht="15" hidden="false" customHeight="false" outlineLevel="0" collapsed="false">
      <c r="A44" s="7" t="s">
        <v>727</v>
      </c>
      <c r="B44" s="7" t="s">
        <v>739</v>
      </c>
      <c r="C44" s="7" t="s">
        <v>740</v>
      </c>
      <c r="D44" s="7" t="s">
        <v>741</v>
      </c>
      <c r="E44" s="7" t="s">
        <v>74</v>
      </c>
      <c r="F44" s="7" t="s">
        <v>38</v>
      </c>
      <c r="G44" s="7" t="n">
        <v>4</v>
      </c>
      <c r="H44" s="7" t="s">
        <v>742</v>
      </c>
      <c r="I44" s="7" t="s">
        <v>60</v>
      </c>
      <c r="J44" s="7"/>
    </row>
    <row r="45" customFormat="false" ht="15" hidden="false" customHeight="false" outlineLevel="0" collapsed="false">
      <c r="A45" s="7" t="s">
        <v>727</v>
      </c>
      <c r="B45" s="7" t="s">
        <v>743</v>
      </c>
      <c r="C45" s="7" t="s">
        <v>744</v>
      </c>
      <c r="D45" s="7" t="s">
        <v>745</v>
      </c>
      <c r="E45" s="7" t="s">
        <v>74</v>
      </c>
      <c r="F45" s="7" t="s">
        <v>38</v>
      </c>
      <c r="G45" s="7" t="n">
        <v>8</v>
      </c>
      <c r="H45" s="7" t="s">
        <v>735</v>
      </c>
      <c r="I45" s="7" t="s">
        <v>60</v>
      </c>
      <c r="J45" s="7" t="s">
        <v>746</v>
      </c>
    </row>
    <row r="46" customFormat="false" ht="15" hidden="false" customHeight="false" outlineLevel="0" collapsed="false">
      <c r="A46" s="7" t="s">
        <v>727</v>
      </c>
      <c r="B46" s="7" t="s">
        <v>747</v>
      </c>
      <c r="C46" s="7" t="s">
        <v>748</v>
      </c>
      <c r="D46" s="7" t="s">
        <v>749</v>
      </c>
      <c r="E46" s="7" t="s">
        <v>74</v>
      </c>
      <c r="F46" s="7" t="s">
        <v>38</v>
      </c>
      <c r="G46" s="7" t="n">
        <v>6</v>
      </c>
      <c r="H46" s="7" t="s">
        <v>743</v>
      </c>
      <c r="I46" s="7" t="s">
        <v>60</v>
      </c>
      <c r="J46" s="7"/>
    </row>
    <row r="47" customFormat="false" ht="15" hidden="false" customHeight="false" outlineLevel="0" collapsed="false">
      <c r="A47" s="7" t="s">
        <v>727</v>
      </c>
      <c r="B47" s="7" t="s">
        <v>750</v>
      </c>
      <c r="C47" s="7" t="s">
        <v>751</v>
      </c>
      <c r="D47" s="7" t="s">
        <v>752</v>
      </c>
      <c r="E47" s="7" t="s">
        <v>74</v>
      </c>
      <c r="F47" s="7" t="s">
        <v>41</v>
      </c>
      <c r="G47" s="7" t="n">
        <v>10</v>
      </c>
      <c r="H47" s="7" t="s">
        <v>743</v>
      </c>
      <c r="I47" s="7" t="s">
        <v>60</v>
      </c>
      <c r="J47" s="7" t="s">
        <v>753</v>
      </c>
    </row>
    <row r="48" customFormat="false" ht="15" hidden="false" customHeight="false" outlineLevel="0" collapsed="false">
      <c r="A48" s="7" t="s">
        <v>727</v>
      </c>
      <c r="B48" s="7" t="s">
        <v>754</v>
      </c>
      <c r="C48" s="7" t="s">
        <v>755</v>
      </c>
      <c r="D48" s="7" t="s">
        <v>756</v>
      </c>
      <c r="E48" s="7" t="s">
        <v>74</v>
      </c>
      <c r="F48" s="7" t="s">
        <v>38</v>
      </c>
      <c r="G48" s="7" t="n">
        <v>6</v>
      </c>
      <c r="H48" s="7" t="s">
        <v>747</v>
      </c>
      <c r="I48" s="7" t="s">
        <v>60</v>
      </c>
      <c r="J48" s="7" t="s">
        <v>757</v>
      </c>
    </row>
    <row r="49" customFormat="false" ht="15" hidden="false" customHeight="false" outlineLevel="0" collapsed="false">
      <c r="A49" s="6" t="s">
        <v>758</v>
      </c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" hidden="false" customHeight="false" outlineLevel="0" collapsed="false">
      <c r="A50" s="7" t="s">
        <v>759</v>
      </c>
      <c r="B50" s="7" t="s">
        <v>760</v>
      </c>
      <c r="C50" s="7" t="s">
        <v>761</v>
      </c>
      <c r="D50" s="7" t="s">
        <v>762</v>
      </c>
      <c r="E50" s="7" t="s">
        <v>59</v>
      </c>
      <c r="F50" s="7" t="s">
        <v>43</v>
      </c>
      <c r="G50" s="7" t="n">
        <v>4</v>
      </c>
      <c r="H50" s="7"/>
      <c r="I50" s="7" t="s">
        <v>60</v>
      </c>
      <c r="J50" s="7" t="s">
        <v>763</v>
      </c>
    </row>
    <row r="51" customFormat="false" ht="15" hidden="false" customHeight="false" outlineLevel="0" collapsed="false">
      <c r="A51" s="7" t="s">
        <v>759</v>
      </c>
      <c r="B51" s="7" t="s">
        <v>764</v>
      </c>
      <c r="C51" s="7" t="s">
        <v>765</v>
      </c>
      <c r="D51" s="7" t="s">
        <v>766</v>
      </c>
      <c r="E51" s="7" t="s">
        <v>74</v>
      </c>
      <c r="F51" s="7" t="s">
        <v>43</v>
      </c>
      <c r="G51" s="7" t="n">
        <v>10</v>
      </c>
      <c r="H51" s="7" t="s">
        <v>760</v>
      </c>
      <c r="I51" s="7" t="s">
        <v>60</v>
      </c>
      <c r="J51" s="7"/>
    </row>
    <row r="52" customFormat="false" ht="15" hidden="false" customHeight="false" outlineLevel="0" collapsed="false">
      <c r="A52" s="7" t="s">
        <v>759</v>
      </c>
      <c r="B52" s="7" t="s">
        <v>767</v>
      </c>
      <c r="C52" s="7" t="s">
        <v>768</v>
      </c>
      <c r="D52" s="7" t="s">
        <v>769</v>
      </c>
      <c r="E52" s="7" t="s">
        <v>74</v>
      </c>
      <c r="F52" s="7" t="s">
        <v>43</v>
      </c>
      <c r="G52" s="7" t="n">
        <v>6</v>
      </c>
      <c r="H52" s="7" t="s">
        <v>760</v>
      </c>
      <c r="I52" s="7" t="s">
        <v>60</v>
      </c>
      <c r="J52" s="7"/>
    </row>
    <row r="53" customFormat="false" ht="15" hidden="false" customHeight="false" outlineLevel="0" collapsed="false">
      <c r="A53" s="7" t="s">
        <v>759</v>
      </c>
      <c r="B53" s="7" t="s">
        <v>770</v>
      </c>
      <c r="C53" s="7" t="s">
        <v>771</v>
      </c>
      <c r="D53" s="7" t="s">
        <v>772</v>
      </c>
      <c r="E53" s="7" t="s">
        <v>74</v>
      </c>
      <c r="F53" s="7" t="s">
        <v>43</v>
      </c>
      <c r="G53" s="7" t="n">
        <v>8</v>
      </c>
      <c r="H53" s="7" t="s">
        <v>773</v>
      </c>
      <c r="I53" s="7" t="s">
        <v>60</v>
      </c>
      <c r="J53" s="7"/>
    </row>
    <row r="54" customFormat="false" ht="15" hidden="false" customHeight="false" outlineLevel="0" collapsed="false">
      <c r="A54" s="7" t="s">
        <v>759</v>
      </c>
      <c r="B54" s="7" t="s">
        <v>774</v>
      </c>
      <c r="C54" s="7" t="s">
        <v>775</v>
      </c>
      <c r="D54" s="7" t="s">
        <v>776</v>
      </c>
      <c r="E54" s="7" t="s">
        <v>74</v>
      </c>
      <c r="F54" s="7" t="s">
        <v>43</v>
      </c>
      <c r="G54" s="7" t="n">
        <v>10</v>
      </c>
      <c r="H54" s="7" t="s">
        <v>770</v>
      </c>
      <c r="I54" s="7" t="s">
        <v>60</v>
      </c>
      <c r="J54" s="7"/>
    </row>
    <row r="55" customFormat="false" ht="15" hidden="false" customHeight="false" outlineLevel="0" collapsed="false">
      <c r="A55" s="6" t="s">
        <v>777</v>
      </c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5" hidden="false" customHeight="false" outlineLevel="0" collapsed="false">
      <c r="A56" s="7" t="s">
        <v>778</v>
      </c>
      <c r="B56" s="7" t="s">
        <v>779</v>
      </c>
      <c r="C56" s="7" t="s">
        <v>780</v>
      </c>
      <c r="D56" s="7" t="s">
        <v>781</v>
      </c>
      <c r="E56" s="7" t="s">
        <v>59</v>
      </c>
      <c r="F56" s="7" t="s">
        <v>43</v>
      </c>
      <c r="G56" s="7" t="n">
        <v>2</v>
      </c>
      <c r="H56" s="7"/>
      <c r="I56" s="7" t="s">
        <v>60</v>
      </c>
      <c r="J56" s="7" t="s">
        <v>782</v>
      </c>
    </row>
    <row r="57" customFormat="false" ht="15" hidden="false" customHeight="false" outlineLevel="0" collapsed="false">
      <c r="A57" s="7" t="s">
        <v>778</v>
      </c>
      <c r="B57" s="7" t="s">
        <v>783</v>
      </c>
      <c r="C57" s="7" t="s">
        <v>784</v>
      </c>
      <c r="D57" s="7" t="s">
        <v>785</v>
      </c>
      <c r="E57" s="7" t="s">
        <v>74</v>
      </c>
      <c r="F57" s="7" t="s">
        <v>43</v>
      </c>
      <c r="G57" s="7" t="n">
        <v>10</v>
      </c>
      <c r="H57" s="7" t="s">
        <v>779</v>
      </c>
      <c r="I57" s="7" t="s">
        <v>60</v>
      </c>
      <c r="J57" s="7"/>
    </row>
    <row r="58" customFormat="false" ht="15" hidden="false" customHeight="false" outlineLevel="0" collapsed="false">
      <c r="A58" s="7" t="s">
        <v>778</v>
      </c>
      <c r="B58" s="7" t="s">
        <v>786</v>
      </c>
      <c r="C58" s="7" t="s">
        <v>787</v>
      </c>
      <c r="D58" s="7" t="s">
        <v>788</v>
      </c>
      <c r="E58" s="7" t="s">
        <v>74</v>
      </c>
      <c r="F58" s="7" t="s">
        <v>43</v>
      </c>
      <c r="G58" s="7" t="n">
        <v>10</v>
      </c>
      <c r="H58" s="7" t="s">
        <v>783</v>
      </c>
      <c r="I58" s="7" t="s">
        <v>60</v>
      </c>
      <c r="J58" s="7" t="s">
        <v>789</v>
      </c>
    </row>
    <row r="59" customFormat="false" ht="15" hidden="false" customHeight="false" outlineLevel="0" collapsed="false">
      <c r="A59" s="7" t="s">
        <v>778</v>
      </c>
      <c r="B59" s="7" t="s">
        <v>790</v>
      </c>
      <c r="C59" s="7" t="s">
        <v>791</v>
      </c>
      <c r="D59" s="7" t="s">
        <v>792</v>
      </c>
      <c r="E59" s="7" t="s">
        <v>74</v>
      </c>
      <c r="F59" s="7" t="s">
        <v>43</v>
      </c>
      <c r="G59" s="7" t="n">
        <v>8</v>
      </c>
      <c r="H59" s="7" t="s">
        <v>786</v>
      </c>
      <c r="I59" s="7" t="s">
        <v>60</v>
      </c>
      <c r="J59" s="7"/>
    </row>
    <row r="60" customFormat="false" ht="15" hidden="false" customHeight="false" outlineLevel="0" collapsed="false">
      <c r="A60" s="6" t="s">
        <v>793</v>
      </c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" hidden="false" customHeight="false" outlineLevel="0" collapsed="false">
      <c r="A61" s="7" t="s">
        <v>794</v>
      </c>
      <c r="B61" s="7" t="s">
        <v>795</v>
      </c>
      <c r="C61" s="7" t="s">
        <v>796</v>
      </c>
      <c r="D61" s="7" t="s">
        <v>797</v>
      </c>
      <c r="E61" s="7" t="s">
        <v>59</v>
      </c>
      <c r="F61" s="7" t="s">
        <v>43</v>
      </c>
      <c r="G61" s="7" t="n">
        <v>4</v>
      </c>
      <c r="H61" s="7"/>
      <c r="I61" s="7" t="s">
        <v>60</v>
      </c>
      <c r="J61" s="7" t="s">
        <v>798</v>
      </c>
    </row>
    <row r="62" customFormat="false" ht="15" hidden="false" customHeight="false" outlineLevel="0" collapsed="false">
      <c r="A62" s="7" t="s">
        <v>794</v>
      </c>
      <c r="B62" s="7" t="s">
        <v>799</v>
      </c>
      <c r="C62" s="7" t="s">
        <v>800</v>
      </c>
      <c r="D62" s="7" t="s">
        <v>801</v>
      </c>
      <c r="E62" s="7" t="s">
        <v>74</v>
      </c>
      <c r="F62" s="7" t="s">
        <v>43</v>
      </c>
      <c r="G62" s="7" t="n">
        <v>10</v>
      </c>
      <c r="H62" s="7" t="s">
        <v>795</v>
      </c>
      <c r="I62" s="7" t="s">
        <v>60</v>
      </c>
      <c r="J62" s="7"/>
    </row>
    <row r="63" customFormat="false" ht="15" hidden="false" customHeight="false" outlineLevel="0" collapsed="false">
      <c r="A63" s="7" t="s">
        <v>794</v>
      </c>
      <c r="B63" s="7" t="s">
        <v>802</v>
      </c>
      <c r="C63" s="7" t="s">
        <v>803</v>
      </c>
      <c r="D63" s="7" t="s">
        <v>804</v>
      </c>
      <c r="E63" s="7" t="s">
        <v>74</v>
      </c>
      <c r="F63" s="7" t="s">
        <v>43</v>
      </c>
      <c r="G63" s="7" t="n">
        <v>8</v>
      </c>
      <c r="H63" s="7" t="s">
        <v>799</v>
      </c>
      <c r="I63" s="7" t="s">
        <v>60</v>
      </c>
      <c r="J63" s="7"/>
    </row>
    <row r="64" customFormat="false" ht="15" hidden="false" customHeight="false" outlineLevel="0" collapsed="false">
      <c r="A64" s="7" t="s">
        <v>794</v>
      </c>
      <c r="B64" s="7" t="s">
        <v>805</v>
      </c>
      <c r="C64" s="7" t="s">
        <v>806</v>
      </c>
      <c r="D64" s="7" t="s">
        <v>807</v>
      </c>
      <c r="E64" s="7" t="s">
        <v>74</v>
      </c>
      <c r="F64" s="7" t="s">
        <v>43</v>
      </c>
      <c r="G64" s="7" t="n">
        <v>8</v>
      </c>
      <c r="H64" s="7" t="s">
        <v>802</v>
      </c>
      <c r="I64" s="7" t="s">
        <v>60</v>
      </c>
      <c r="J6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15" hidden="false" customHeight="false" outlineLevel="0" collapsed="false">
      <c r="A2" s="6" t="s">
        <v>808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7" t="s">
        <v>809</v>
      </c>
      <c r="B3" s="7" t="s">
        <v>810</v>
      </c>
      <c r="C3" s="7" t="s">
        <v>811</v>
      </c>
      <c r="D3" s="7" t="s">
        <v>812</v>
      </c>
      <c r="E3" s="7" t="s">
        <v>85</v>
      </c>
      <c r="F3" s="7" t="s">
        <v>35</v>
      </c>
      <c r="G3" s="7" t="n">
        <v>6</v>
      </c>
      <c r="H3" s="7" t="s">
        <v>62</v>
      </c>
      <c r="I3" s="7" t="s">
        <v>60</v>
      </c>
      <c r="J3" s="7" t="s">
        <v>813</v>
      </c>
    </row>
    <row r="4" customFormat="false" ht="15" hidden="false" customHeight="false" outlineLevel="0" collapsed="false">
      <c r="A4" s="7" t="s">
        <v>809</v>
      </c>
      <c r="B4" s="7" t="s">
        <v>814</v>
      </c>
      <c r="C4" s="7" t="s">
        <v>815</v>
      </c>
      <c r="D4" s="7" t="s">
        <v>816</v>
      </c>
      <c r="E4" s="7" t="s">
        <v>85</v>
      </c>
      <c r="F4" s="7" t="s">
        <v>38</v>
      </c>
      <c r="G4" s="7" t="n">
        <v>4</v>
      </c>
      <c r="H4" s="7" t="s">
        <v>810</v>
      </c>
      <c r="I4" s="7" t="s">
        <v>60</v>
      </c>
      <c r="J4" s="7"/>
    </row>
    <row r="5" customFormat="false" ht="23.85" hidden="false" customHeight="false" outlineLevel="0" collapsed="false">
      <c r="A5" s="7" t="s">
        <v>809</v>
      </c>
      <c r="B5" s="7" t="s">
        <v>817</v>
      </c>
      <c r="C5" s="7" t="s">
        <v>818</v>
      </c>
      <c r="D5" s="7" t="s">
        <v>819</v>
      </c>
      <c r="E5" s="7" t="s">
        <v>85</v>
      </c>
      <c r="F5" s="7" t="s">
        <v>38</v>
      </c>
      <c r="G5" s="7" t="n">
        <v>6</v>
      </c>
      <c r="H5" s="7" t="s">
        <v>810</v>
      </c>
      <c r="I5" s="7" t="s">
        <v>60</v>
      </c>
      <c r="J5" s="7" t="s">
        <v>820</v>
      </c>
    </row>
    <row r="6" customFormat="false" ht="15" hidden="false" customHeight="false" outlineLevel="0" collapsed="false">
      <c r="A6" s="7" t="s">
        <v>809</v>
      </c>
      <c r="B6" s="7" t="s">
        <v>821</v>
      </c>
      <c r="C6" s="7" t="s">
        <v>822</v>
      </c>
      <c r="D6" s="7" t="s">
        <v>823</v>
      </c>
      <c r="E6" s="7" t="s">
        <v>85</v>
      </c>
      <c r="F6" s="7" t="s">
        <v>38</v>
      </c>
      <c r="G6" s="7" t="n">
        <v>8</v>
      </c>
      <c r="H6" s="7" t="s">
        <v>810</v>
      </c>
      <c r="I6" s="7" t="s">
        <v>60</v>
      </c>
      <c r="J6" s="7" t="s">
        <v>824</v>
      </c>
    </row>
    <row r="7" customFormat="false" ht="15" hidden="false" customHeight="false" outlineLevel="0" collapsed="false">
      <c r="A7" s="7" t="s">
        <v>809</v>
      </c>
      <c r="B7" s="7" t="s">
        <v>825</v>
      </c>
      <c r="C7" s="7" t="s">
        <v>826</v>
      </c>
      <c r="D7" s="7" t="s">
        <v>827</v>
      </c>
      <c r="E7" s="7" t="s">
        <v>85</v>
      </c>
      <c r="F7" s="7" t="s">
        <v>38</v>
      </c>
      <c r="G7" s="7" t="n">
        <v>8</v>
      </c>
      <c r="H7" s="7" t="s">
        <v>810</v>
      </c>
      <c r="I7" s="7" t="s">
        <v>60</v>
      </c>
      <c r="J7" s="7" t="s">
        <v>828</v>
      </c>
    </row>
    <row r="8" customFormat="false" ht="15" hidden="false" customHeight="false" outlineLevel="0" collapsed="false">
      <c r="A8" s="7" t="s">
        <v>809</v>
      </c>
      <c r="B8" s="7" t="s">
        <v>829</v>
      </c>
      <c r="C8" s="7" t="s">
        <v>830</v>
      </c>
      <c r="D8" s="7" t="s">
        <v>831</v>
      </c>
      <c r="E8" s="7" t="s">
        <v>85</v>
      </c>
      <c r="F8" s="7" t="s">
        <v>38</v>
      </c>
      <c r="G8" s="7" t="n">
        <v>10</v>
      </c>
      <c r="H8" s="7" t="s">
        <v>821</v>
      </c>
      <c r="I8" s="7" t="s">
        <v>60</v>
      </c>
      <c r="J8" s="7"/>
    </row>
    <row r="9" customFormat="false" ht="15" hidden="false" customHeight="false" outlineLevel="0" collapsed="false">
      <c r="A9" s="7" t="s">
        <v>809</v>
      </c>
      <c r="B9" s="7" t="s">
        <v>832</v>
      </c>
      <c r="C9" s="7" t="s">
        <v>833</v>
      </c>
      <c r="D9" s="7" t="s">
        <v>834</v>
      </c>
      <c r="E9" s="7" t="s">
        <v>85</v>
      </c>
      <c r="F9" s="7" t="s">
        <v>38</v>
      </c>
      <c r="G9" s="7" t="n">
        <v>6</v>
      </c>
      <c r="H9" s="7" t="s">
        <v>829</v>
      </c>
      <c r="I9" s="7" t="s">
        <v>60</v>
      </c>
      <c r="J9" s="7"/>
    </row>
    <row r="10" customFormat="false" ht="15" hidden="false" customHeight="false" outlineLevel="0" collapsed="false">
      <c r="A10" s="7" t="s">
        <v>809</v>
      </c>
      <c r="B10" s="7" t="s">
        <v>835</v>
      </c>
      <c r="C10" s="7" t="s">
        <v>836</v>
      </c>
      <c r="D10" s="7" t="s">
        <v>837</v>
      </c>
      <c r="E10" s="7" t="s">
        <v>85</v>
      </c>
      <c r="F10" s="7" t="s">
        <v>38</v>
      </c>
      <c r="G10" s="7" t="n">
        <v>2</v>
      </c>
      <c r="H10" s="7" t="s">
        <v>810</v>
      </c>
      <c r="I10" s="7" t="s">
        <v>60</v>
      </c>
      <c r="J10" s="7"/>
    </row>
    <row r="11" customFormat="false" ht="15" hidden="false" customHeight="false" outlineLevel="0" collapsed="false">
      <c r="A11" s="7" t="s">
        <v>809</v>
      </c>
      <c r="B11" s="7" t="s">
        <v>838</v>
      </c>
      <c r="C11" s="7" t="s">
        <v>839</v>
      </c>
      <c r="D11" s="7" t="s">
        <v>840</v>
      </c>
      <c r="E11" s="7" t="s">
        <v>85</v>
      </c>
      <c r="F11" s="7" t="s">
        <v>41</v>
      </c>
      <c r="G11" s="7" t="n">
        <v>4</v>
      </c>
      <c r="H11" s="7" t="s">
        <v>810</v>
      </c>
      <c r="I11" s="7" t="s">
        <v>60</v>
      </c>
      <c r="J11" s="7" t="s">
        <v>841</v>
      </c>
    </row>
    <row r="12" customFormat="false" ht="15" hidden="false" customHeight="false" outlineLevel="0" collapsed="false">
      <c r="A12" s="7" t="s">
        <v>809</v>
      </c>
      <c r="B12" s="7" t="s">
        <v>842</v>
      </c>
      <c r="C12" s="7" t="s">
        <v>843</v>
      </c>
      <c r="D12" s="7" t="s">
        <v>844</v>
      </c>
      <c r="E12" s="7" t="s">
        <v>85</v>
      </c>
      <c r="F12" s="7" t="s">
        <v>38</v>
      </c>
      <c r="G12" s="7" t="n">
        <v>12</v>
      </c>
      <c r="H12" s="7" t="s">
        <v>814</v>
      </c>
      <c r="I12" s="7" t="s">
        <v>60</v>
      </c>
      <c r="J12" s="7"/>
    </row>
    <row r="13" customFormat="false" ht="23.85" hidden="false" customHeight="false" outlineLevel="0" collapsed="false">
      <c r="A13" s="6" t="s">
        <v>845</v>
      </c>
      <c r="B13" s="6"/>
      <c r="C13" s="6"/>
      <c r="D13" s="6"/>
      <c r="E13" s="6"/>
      <c r="F13" s="6"/>
      <c r="G13" s="6"/>
      <c r="H13" s="6"/>
      <c r="I13" s="6"/>
      <c r="J13" s="6"/>
    </row>
    <row r="14" customFormat="false" ht="15" hidden="false" customHeight="false" outlineLevel="0" collapsed="false">
      <c r="A14" s="7" t="s">
        <v>846</v>
      </c>
      <c r="B14" s="7" t="s">
        <v>847</v>
      </c>
      <c r="C14" s="7" t="s">
        <v>848</v>
      </c>
      <c r="D14" s="7" t="s">
        <v>849</v>
      </c>
      <c r="E14" s="7" t="s">
        <v>85</v>
      </c>
      <c r="F14" s="7" t="s">
        <v>35</v>
      </c>
      <c r="G14" s="7" t="n">
        <v>12</v>
      </c>
      <c r="H14" s="7" t="s">
        <v>850</v>
      </c>
      <c r="I14" s="7" t="s">
        <v>60</v>
      </c>
      <c r="J14" s="7"/>
    </row>
    <row r="15" customFormat="false" ht="15" hidden="false" customHeight="false" outlineLevel="0" collapsed="false">
      <c r="A15" s="7" t="s">
        <v>846</v>
      </c>
      <c r="B15" s="7" t="s">
        <v>851</v>
      </c>
      <c r="C15" s="7" t="s">
        <v>852</v>
      </c>
      <c r="D15" s="7" t="s">
        <v>853</v>
      </c>
      <c r="E15" s="7" t="s">
        <v>85</v>
      </c>
      <c r="F15" s="7" t="s">
        <v>38</v>
      </c>
      <c r="G15" s="7" t="n">
        <v>12</v>
      </c>
      <c r="H15" s="7" t="s">
        <v>847</v>
      </c>
      <c r="I15" s="7" t="s">
        <v>60</v>
      </c>
      <c r="J15" s="7"/>
    </row>
    <row r="16" customFormat="false" ht="15" hidden="false" customHeight="false" outlineLevel="0" collapsed="false">
      <c r="A16" s="7" t="s">
        <v>846</v>
      </c>
      <c r="B16" s="7" t="s">
        <v>854</v>
      </c>
      <c r="C16" s="7" t="s">
        <v>855</v>
      </c>
      <c r="D16" s="7" t="s">
        <v>856</v>
      </c>
      <c r="E16" s="7" t="s">
        <v>85</v>
      </c>
      <c r="F16" s="7" t="s">
        <v>38</v>
      </c>
      <c r="G16" s="7" t="n">
        <v>10</v>
      </c>
      <c r="H16" s="7" t="s">
        <v>857</v>
      </c>
      <c r="I16" s="7" t="s">
        <v>60</v>
      </c>
      <c r="J16" s="7"/>
    </row>
    <row r="17" customFormat="false" ht="15" hidden="false" customHeight="false" outlineLevel="0" collapsed="false">
      <c r="A17" s="7" t="s">
        <v>846</v>
      </c>
      <c r="B17" s="7" t="s">
        <v>858</v>
      </c>
      <c r="C17" s="7" t="s">
        <v>859</v>
      </c>
      <c r="D17" s="7" t="s">
        <v>860</v>
      </c>
      <c r="E17" s="7" t="s">
        <v>85</v>
      </c>
      <c r="F17" s="7" t="s">
        <v>41</v>
      </c>
      <c r="G17" s="7" t="n">
        <v>8</v>
      </c>
      <c r="H17" s="7" t="s">
        <v>847</v>
      </c>
      <c r="I17" s="7" t="s">
        <v>60</v>
      </c>
      <c r="J17" s="7"/>
    </row>
    <row r="18" customFormat="false" ht="15" hidden="false" customHeight="false" outlineLevel="0" collapsed="false">
      <c r="A18" s="7" t="s">
        <v>846</v>
      </c>
      <c r="B18" s="7" t="s">
        <v>861</v>
      </c>
      <c r="C18" s="7" t="s">
        <v>862</v>
      </c>
      <c r="D18" s="7" t="s">
        <v>863</v>
      </c>
      <c r="E18" s="7" t="s">
        <v>85</v>
      </c>
      <c r="F18" s="7" t="s">
        <v>41</v>
      </c>
      <c r="G18" s="7" t="n">
        <v>8</v>
      </c>
      <c r="H18" s="7" t="s">
        <v>858</v>
      </c>
      <c r="I18" s="7" t="s">
        <v>60</v>
      </c>
      <c r="J18" s="7"/>
    </row>
    <row r="19" customFormat="false" ht="15" hidden="false" customHeight="false" outlineLevel="0" collapsed="false">
      <c r="A19" s="7" t="s">
        <v>846</v>
      </c>
      <c r="B19" s="7" t="s">
        <v>864</v>
      </c>
      <c r="C19" s="7" t="s">
        <v>865</v>
      </c>
      <c r="D19" s="7" t="s">
        <v>866</v>
      </c>
      <c r="E19" s="7" t="s">
        <v>85</v>
      </c>
      <c r="F19" s="7" t="s">
        <v>38</v>
      </c>
      <c r="G19" s="7" t="n">
        <v>6</v>
      </c>
      <c r="H19" s="7" t="s">
        <v>847</v>
      </c>
      <c r="I19" s="7" t="s">
        <v>60</v>
      </c>
      <c r="J19" s="7" t="s">
        <v>867</v>
      </c>
    </row>
    <row r="20" customFormat="false" ht="15" hidden="false" customHeight="false" outlineLevel="0" collapsed="false">
      <c r="A20" s="6" t="s">
        <v>868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7" t="s">
        <v>869</v>
      </c>
      <c r="B21" s="7" t="s">
        <v>870</v>
      </c>
      <c r="C21" s="7" t="s">
        <v>871</v>
      </c>
      <c r="D21" s="7" t="s">
        <v>872</v>
      </c>
      <c r="E21" s="7" t="s">
        <v>85</v>
      </c>
      <c r="F21" s="7" t="s">
        <v>38</v>
      </c>
      <c r="G21" s="7" t="n">
        <v>12</v>
      </c>
      <c r="H21" s="7" t="s">
        <v>842</v>
      </c>
      <c r="I21" s="7" t="s">
        <v>60</v>
      </c>
      <c r="J21" s="7"/>
    </row>
    <row r="22" customFormat="false" ht="15" hidden="false" customHeight="false" outlineLevel="0" collapsed="false">
      <c r="A22" s="7" t="s">
        <v>869</v>
      </c>
      <c r="B22" s="7" t="s">
        <v>873</v>
      </c>
      <c r="C22" s="7" t="s">
        <v>874</v>
      </c>
      <c r="D22" s="7" t="s">
        <v>875</v>
      </c>
      <c r="E22" s="7" t="s">
        <v>85</v>
      </c>
      <c r="F22" s="7" t="s">
        <v>41</v>
      </c>
      <c r="G22" s="7" t="n">
        <v>8</v>
      </c>
      <c r="H22" s="7" t="s">
        <v>870</v>
      </c>
      <c r="I22" s="7" t="s">
        <v>60</v>
      </c>
      <c r="J22" s="7"/>
    </row>
    <row r="23" customFormat="false" ht="15" hidden="false" customHeight="false" outlineLevel="0" collapsed="false">
      <c r="A23" s="7" t="s">
        <v>869</v>
      </c>
      <c r="B23" s="7" t="s">
        <v>876</v>
      </c>
      <c r="C23" s="7" t="s">
        <v>877</v>
      </c>
      <c r="D23" s="7" t="s">
        <v>878</v>
      </c>
      <c r="E23" s="7" t="s">
        <v>85</v>
      </c>
      <c r="F23" s="7" t="s">
        <v>38</v>
      </c>
      <c r="G23" s="7" t="n">
        <v>8</v>
      </c>
      <c r="H23" s="7" t="s">
        <v>870</v>
      </c>
      <c r="I23" s="7" t="s">
        <v>60</v>
      </c>
      <c r="J23" s="7" t="s">
        <v>879</v>
      </c>
    </row>
    <row r="24" customFormat="false" ht="15" hidden="false" customHeight="false" outlineLevel="0" collapsed="false">
      <c r="A24" s="7" t="s">
        <v>869</v>
      </c>
      <c r="B24" s="7" t="s">
        <v>880</v>
      </c>
      <c r="C24" s="7" t="s">
        <v>881</v>
      </c>
      <c r="D24" s="7" t="s">
        <v>882</v>
      </c>
      <c r="E24" s="7" t="s">
        <v>85</v>
      </c>
      <c r="F24" s="7" t="s">
        <v>38</v>
      </c>
      <c r="G24" s="7" t="n">
        <v>10</v>
      </c>
      <c r="H24" s="7" t="s">
        <v>870</v>
      </c>
      <c r="I24" s="7" t="s">
        <v>60</v>
      </c>
      <c r="J24" s="7"/>
    </row>
    <row r="25" customFormat="false" ht="15" hidden="false" customHeight="false" outlineLevel="0" collapsed="false">
      <c r="A25" s="7" t="s">
        <v>869</v>
      </c>
      <c r="B25" s="7" t="s">
        <v>883</v>
      </c>
      <c r="C25" s="7" t="s">
        <v>884</v>
      </c>
      <c r="D25" s="7" t="s">
        <v>885</v>
      </c>
      <c r="E25" s="7" t="s">
        <v>85</v>
      </c>
      <c r="F25" s="7" t="s">
        <v>38</v>
      </c>
      <c r="G25" s="7" t="n">
        <v>4</v>
      </c>
      <c r="H25" s="7" t="s">
        <v>870</v>
      </c>
      <c r="I25" s="7" t="s">
        <v>60</v>
      </c>
      <c r="J25" s="7"/>
    </row>
    <row r="26" customFormat="false" ht="23.85" hidden="false" customHeight="false" outlineLevel="0" collapsed="false">
      <c r="A26" s="6" t="s">
        <v>886</v>
      </c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" hidden="false" customHeight="false" outlineLevel="0" collapsed="false">
      <c r="A27" s="7" t="s">
        <v>887</v>
      </c>
      <c r="B27" s="7" t="s">
        <v>888</v>
      </c>
      <c r="C27" s="7" t="s">
        <v>889</v>
      </c>
      <c r="D27" s="7" t="s">
        <v>890</v>
      </c>
      <c r="E27" s="7" t="s">
        <v>85</v>
      </c>
      <c r="F27" s="7" t="s">
        <v>38</v>
      </c>
      <c r="G27" s="7" t="n">
        <v>12</v>
      </c>
      <c r="H27" s="7" t="s">
        <v>817</v>
      </c>
      <c r="I27" s="7" t="s">
        <v>60</v>
      </c>
      <c r="J27" s="7" t="s">
        <v>891</v>
      </c>
    </row>
    <row r="28" customFormat="false" ht="15" hidden="false" customHeight="false" outlineLevel="0" collapsed="false">
      <c r="A28" s="7" t="s">
        <v>887</v>
      </c>
      <c r="B28" s="7" t="s">
        <v>892</v>
      </c>
      <c r="C28" s="7" t="s">
        <v>893</v>
      </c>
      <c r="D28" s="7" t="s">
        <v>894</v>
      </c>
      <c r="E28" s="7" t="s">
        <v>85</v>
      </c>
      <c r="F28" s="7" t="s">
        <v>35</v>
      </c>
      <c r="G28" s="7" t="n">
        <v>16</v>
      </c>
      <c r="H28" s="7" t="s">
        <v>895</v>
      </c>
      <c r="I28" s="7" t="s">
        <v>60</v>
      </c>
      <c r="J28" s="7" t="s">
        <v>896</v>
      </c>
    </row>
    <row r="29" customFormat="false" ht="15" hidden="false" customHeight="false" outlineLevel="0" collapsed="false">
      <c r="A29" s="7" t="s">
        <v>887</v>
      </c>
      <c r="B29" s="7" t="s">
        <v>897</v>
      </c>
      <c r="C29" s="7" t="s">
        <v>898</v>
      </c>
      <c r="D29" s="7" t="s">
        <v>899</v>
      </c>
      <c r="E29" s="7" t="s">
        <v>85</v>
      </c>
      <c r="F29" s="7" t="s">
        <v>38</v>
      </c>
      <c r="G29" s="7" t="n">
        <v>8</v>
      </c>
      <c r="H29" s="7" t="s">
        <v>892</v>
      </c>
      <c r="I29" s="7" t="s">
        <v>60</v>
      </c>
      <c r="J29" s="7" t="s">
        <v>900</v>
      </c>
    </row>
    <row r="30" customFormat="false" ht="15" hidden="false" customHeight="false" outlineLevel="0" collapsed="false">
      <c r="A30" s="7" t="s">
        <v>887</v>
      </c>
      <c r="B30" s="7" t="s">
        <v>901</v>
      </c>
      <c r="C30" s="7" t="s">
        <v>902</v>
      </c>
      <c r="D30" s="7" t="s">
        <v>903</v>
      </c>
      <c r="E30" s="7" t="s">
        <v>85</v>
      </c>
      <c r="F30" s="7" t="s">
        <v>38</v>
      </c>
      <c r="G30" s="7" t="n">
        <v>12</v>
      </c>
      <c r="H30" s="7" t="s">
        <v>888</v>
      </c>
      <c r="I30" s="7" t="s">
        <v>60</v>
      </c>
      <c r="J30" s="7"/>
    </row>
    <row r="31" customFormat="false" ht="15" hidden="false" customHeight="false" outlineLevel="0" collapsed="false">
      <c r="A31" s="7" t="s">
        <v>887</v>
      </c>
      <c r="B31" s="7" t="s">
        <v>904</v>
      </c>
      <c r="C31" s="7" t="s">
        <v>905</v>
      </c>
      <c r="D31" s="7" t="s">
        <v>906</v>
      </c>
      <c r="E31" s="7" t="s">
        <v>85</v>
      </c>
      <c r="F31" s="7" t="s">
        <v>41</v>
      </c>
      <c r="G31" s="7" t="n">
        <v>10</v>
      </c>
      <c r="H31" s="7" t="s">
        <v>888</v>
      </c>
      <c r="I31" s="7" t="s">
        <v>60</v>
      </c>
      <c r="J31" s="7"/>
    </row>
    <row r="32" customFormat="false" ht="15" hidden="false" customHeight="false" outlineLevel="0" collapsed="false">
      <c r="A32" s="7" t="s">
        <v>887</v>
      </c>
      <c r="B32" s="7" t="s">
        <v>907</v>
      </c>
      <c r="C32" s="7" t="s">
        <v>908</v>
      </c>
      <c r="D32" s="7" t="s">
        <v>909</v>
      </c>
      <c r="E32" s="7" t="s">
        <v>85</v>
      </c>
      <c r="F32" s="7" t="s">
        <v>41</v>
      </c>
      <c r="G32" s="7" t="n">
        <v>6</v>
      </c>
      <c r="H32" s="7" t="s">
        <v>910</v>
      </c>
      <c r="I32" s="7" t="s">
        <v>60</v>
      </c>
      <c r="J32" s="7"/>
    </row>
    <row r="33" customFormat="false" ht="23.85" hidden="false" customHeight="false" outlineLevel="0" collapsed="false">
      <c r="A33" s="6" t="s">
        <v>911</v>
      </c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" hidden="false" customHeight="false" outlineLevel="0" collapsed="false">
      <c r="A34" s="7" t="s">
        <v>912</v>
      </c>
      <c r="B34" s="7" t="s">
        <v>913</v>
      </c>
      <c r="C34" s="7" t="s">
        <v>914</v>
      </c>
      <c r="D34" s="7" t="s">
        <v>915</v>
      </c>
      <c r="E34" s="7" t="s">
        <v>85</v>
      </c>
      <c r="F34" s="7" t="s">
        <v>35</v>
      </c>
      <c r="G34" s="7" t="n">
        <v>12</v>
      </c>
      <c r="H34" s="7" t="s">
        <v>814</v>
      </c>
      <c r="I34" s="7" t="s">
        <v>60</v>
      </c>
      <c r="J34" s="7" t="s">
        <v>916</v>
      </c>
    </row>
    <row r="35" customFormat="false" ht="15" hidden="false" customHeight="false" outlineLevel="0" collapsed="false">
      <c r="A35" s="7" t="s">
        <v>912</v>
      </c>
      <c r="B35" s="7" t="s">
        <v>917</v>
      </c>
      <c r="C35" s="7" t="s">
        <v>918</v>
      </c>
      <c r="D35" s="7" t="s">
        <v>919</v>
      </c>
      <c r="E35" s="7" t="s">
        <v>85</v>
      </c>
      <c r="F35" s="7" t="s">
        <v>35</v>
      </c>
      <c r="G35" s="7" t="n">
        <v>8</v>
      </c>
      <c r="H35" s="7" t="s">
        <v>913</v>
      </c>
      <c r="I35" s="7" t="s">
        <v>60</v>
      </c>
      <c r="J35" s="7" t="s">
        <v>920</v>
      </c>
    </row>
    <row r="36" customFormat="false" ht="15" hidden="false" customHeight="false" outlineLevel="0" collapsed="false">
      <c r="A36" s="7" t="s">
        <v>912</v>
      </c>
      <c r="B36" s="7" t="s">
        <v>921</v>
      </c>
      <c r="C36" s="7" t="s">
        <v>922</v>
      </c>
      <c r="D36" s="7" t="s">
        <v>923</v>
      </c>
      <c r="E36" s="7" t="s">
        <v>85</v>
      </c>
      <c r="F36" s="7" t="s">
        <v>38</v>
      </c>
      <c r="G36" s="7" t="n">
        <v>6</v>
      </c>
      <c r="H36" s="7" t="s">
        <v>917</v>
      </c>
      <c r="I36" s="7" t="s">
        <v>60</v>
      </c>
      <c r="J36" s="7"/>
    </row>
    <row r="37" customFormat="false" ht="15" hidden="false" customHeight="false" outlineLevel="0" collapsed="false">
      <c r="A37" s="7" t="s">
        <v>912</v>
      </c>
      <c r="B37" s="7" t="s">
        <v>924</v>
      </c>
      <c r="C37" s="7" t="s">
        <v>925</v>
      </c>
      <c r="D37" s="7" t="s">
        <v>926</v>
      </c>
      <c r="E37" s="7" t="s">
        <v>85</v>
      </c>
      <c r="F37" s="7" t="s">
        <v>35</v>
      </c>
      <c r="G37" s="7" t="n">
        <v>16</v>
      </c>
      <c r="H37" s="7" t="s">
        <v>913</v>
      </c>
      <c r="I37" s="7" t="s">
        <v>60</v>
      </c>
      <c r="J37" s="7" t="s">
        <v>927</v>
      </c>
    </row>
    <row r="38" customFormat="false" ht="15" hidden="false" customHeight="false" outlineLevel="0" collapsed="false">
      <c r="A38" s="7" t="s">
        <v>912</v>
      </c>
      <c r="B38" s="7" t="s">
        <v>928</v>
      </c>
      <c r="C38" s="7" t="s">
        <v>929</v>
      </c>
      <c r="D38" s="7" t="s">
        <v>930</v>
      </c>
      <c r="E38" s="7" t="s">
        <v>85</v>
      </c>
      <c r="F38" s="7" t="s">
        <v>38</v>
      </c>
      <c r="G38" s="7" t="n">
        <v>10</v>
      </c>
      <c r="H38" s="7" t="s">
        <v>931</v>
      </c>
      <c r="I38" s="7" t="s">
        <v>60</v>
      </c>
      <c r="J38" s="7" t="s">
        <v>932</v>
      </c>
    </row>
    <row r="39" customFormat="false" ht="15" hidden="false" customHeight="false" outlineLevel="0" collapsed="false">
      <c r="A39" s="7" t="s">
        <v>912</v>
      </c>
      <c r="B39" s="7" t="s">
        <v>933</v>
      </c>
      <c r="C39" s="7" t="s">
        <v>934</v>
      </c>
      <c r="D39" s="7" t="s">
        <v>935</v>
      </c>
      <c r="E39" s="7" t="s">
        <v>85</v>
      </c>
      <c r="F39" s="7" t="s">
        <v>38</v>
      </c>
      <c r="G39" s="7" t="n">
        <v>8</v>
      </c>
      <c r="H39" s="7" t="s">
        <v>924</v>
      </c>
      <c r="I39" s="7" t="s">
        <v>60</v>
      </c>
      <c r="J39" s="7" t="s">
        <v>936</v>
      </c>
    </row>
    <row r="40" customFormat="false" ht="15" hidden="false" customHeight="false" outlineLevel="0" collapsed="false">
      <c r="A40" s="7" t="s">
        <v>912</v>
      </c>
      <c r="B40" s="7" t="s">
        <v>937</v>
      </c>
      <c r="C40" s="7" t="s">
        <v>938</v>
      </c>
      <c r="D40" s="7" t="s">
        <v>939</v>
      </c>
      <c r="E40" s="7" t="s">
        <v>85</v>
      </c>
      <c r="F40" s="7" t="s">
        <v>38</v>
      </c>
      <c r="G40" s="7" t="n">
        <v>10</v>
      </c>
      <c r="H40" s="7" t="s">
        <v>913</v>
      </c>
      <c r="I40" s="7" t="s">
        <v>60</v>
      </c>
      <c r="J40" s="7"/>
    </row>
    <row r="41" customFormat="false" ht="15" hidden="false" customHeight="false" outlineLevel="0" collapsed="false">
      <c r="A41" s="7" t="s">
        <v>912</v>
      </c>
      <c r="B41" s="7" t="s">
        <v>940</v>
      </c>
      <c r="C41" s="7" t="s">
        <v>941</v>
      </c>
      <c r="D41" s="7" t="s">
        <v>942</v>
      </c>
      <c r="E41" s="7" t="s">
        <v>85</v>
      </c>
      <c r="F41" s="7" t="s">
        <v>41</v>
      </c>
      <c r="G41" s="7" t="n">
        <v>8</v>
      </c>
      <c r="H41" s="7" t="s">
        <v>913</v>
      </c>
      <c r="I41" s="7" t="s">
        <v>60</v>
      </c>
      <c r="J41" s="7"/>
    </row>
    <row r="42" customFormat="false" ht="15" hidden="false" customHeight="false" outlineLevel="0" collapsed="false">
      <c r="A42" s="7" t="s">
        <v>912</v>
      </c>
      <c r="B42" s="7" t="s">
        <v>943</v>
      </c>
      <c r="C42" s="7" t="s">
        <v>944</v>
      </c>
      <c r="D42" s="7" t="s">
        <v>945</v>
      </c>
      <c r="E42" s="7" t="s">
        <v>85</v>
      </c>
      <c r="F42" s="7" t="s">
        <v>38</v>
      </c>
      <c r="G42" s="7" t="n">
        <v>6</v>
      </c>
      <c r="H42" s="7" t="s">
        <v>946</v>
      </c>
      <c r="I42" s="7" t="s">
        <v>60</v>
      </c>
      <c r="J42" s="7"/>
    </row>
    <row r="43" customFormat="false" ht="23.85" hidden="false" customHeight="false" outlineLevel="0" collapsed="false">
      <c r="A43" s="6" t="s">
        <v>947</v>
      </c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" hidden="false" customHeight="false" outlineLevel="0" collapsed="false">
      <c r="A44" s="7" t="s">
        <v>948</v>
      </c>
      <c r="B44" s="7" t="s">
        <v>949</v>
      </c>
      <c r="C44" s="7" t="s">
        <v>950</v>
      </c>
      <c r="D44" s="7" t="s">
        <v>951</v>
      </c>
      <c r="E44" s="7" t="s">
        <v>85</v>
      </c>
      <c r="F44" s="7" t="s">
        <v>35</v>
      </c>
      <c r="G44" s="7" t="n">
        <v>16</v>
      </c>
      <c r="H44" s="7" t="s">
        <v>817</v>
      </c>
      <c r="I44" s="7" t="s">
        <v>60</v>
      </c>
      <c r="J44" s="7"/>
    </row>
    <row r="45" customFormat="false" ht="15" hidden="false" customHeight="false" outlineLevel="0" collapsed="false">
      <c r="A45" s="7" t="s">
        <v>948</v>
      </c>
      <c r="B45" s="7" t="s">
        <v>952</v>
      </c>
      <c r="C45" s="7" t="s">
        <v>953</v>
      </c>
      <c r="D45" s="7" t="s">
        <v>954</v>
      </c>
      <c r="E45" s="7" t="s">
        <v>85</v>
      </c>
      <c r="F45" s="7" t="s">
        <v>38</v>
      </c>
      <c r="G45" s="7" t="n">
        <v>8</v>
      </c>
      <c r="H45" s="7" t="s">
        <v>949</v>
      </c>
      <c r="I45" s="7" t="s">
        <v>60</v>
      </c>
      <c r="J45" s="7" t="s">
        <v>955</v>
      </c>
    </row>
    <row r="46" customFormat="false" ht="15" hidden="false" customHeight="false" outlineLevel="0" collapsed="false">
      <c r="A46" s="7" t="s">
        <v>948</v>
      </c>
      <c r="B46" s="7" t="s">
        <v>956</v>
      </c>
      <c r="C46" s="7" t="s">
        <v>957</v>
      </c>
      <c r="D46" s="7" t="s">
        <v>958</v>
      </c>
      <c r="E46" s="7" t="s">
        <v>85</v>
      </c>
      <c r="F46" s="7" t="s">
        <v>38</v>
      </c>
      <c r="G46" s="7" t="n">
        <v>20</v>
      </c>
      <c r="H46" s="7" t="s">
        <v>949</v>
      </c>
      <c r="I46" s="7" t="s">
        <v>60</v>
      </c>
      <c r="J46" s="7" t="s">
        <v>959</v>
      </c>
    </row>
    <row r="47" customFormat="false" ht="15" hidden="false" customHeight="false" outlineLevel="0" collapsed="false">
      <c r="A47" s="7" t="s">
        <v>948</v>
      </c>
      <c r="B47" s="7" t="s">
        <v>960</v>
      </c>
      <c r="C47" s="7" t="s">
        <v>961</v>
      </c>
      <c r="D47" s="7" t="s">
        <v>962</v>
      </c>
      <c r="E47" s="7" t="s">
        <v>85</v>
      </c>
      <c r="F47" s="7" t="s">
        <v>41</v>
      </c>
      <c r="G47" s="7" t="n">
        <v>16</v>
      </c>
      <c r="H47" s="7" t="s">
        <v>956</v>
      </c>
      <c r="I47" s="7" t="s">
        <v>60</v>
      </c>
      <c r="J47" s="7" t="s">
        <v>963</v>
      </c>
    </row>
    <row r="48" customFormat="false" ht="15" hidden="false" customHeight="false" outlineLevel="0" collapsed="false">
      <c r="A48" s="7" t="s">
        <v>948</v>
      </c>
      <c r="B48" s="7" t="s">
        <v>964</v>
      </c>
      <c r="C48" s="7" t="s">
        <v>965</v>
      </c>
      <c r="D48" s="7" t="s">
        <v>966</v>
      </c>
      <c r="E48" s="7" t="s">
        <v>85</v>
      </c>
      <c r="F48" s="7" t="s">
        <v>35</v>
      </c>
      <c r="G48" s="7" t="n">
        <v>8</v>
      </c>
      <c r="H48" s="7" t="s">
        <v>967</v>
      </c>
      <c r="I48" s="7" t="s">
        <v>60</v>
      </c>
      <c r="J48" s="7" t="s">
        <v>968</v>
      </c>
    </row>
    <row r="49" customFormat="false" ht="15" hidden="false" customHeight="false" outlineLevel="0" collapsed="false">
      <c r="A49" s="7" t="s">
        <v>948</v>
      </c>
      <c r="B49" s="7" t="s">
        <v>969</v>
      </c>
      <c r="C49" s="7" t="s">
        <v>970</v>
      </c>
      <c r="D49" s="7" t="s">
        <v>971</v>
      </c>
      <c r="E49" s="7" t="s">
        <v>85</v>
      </c>
      <c r="F49" s="7" t="s">
        <v>38</v>
      </c>
      <c r="G49" s="7" t="n">
        <v>10</v>
      </c>
      <c r="H49" s="7" t="s">
        <v>949</v>
      </c>
      <c r="I49" s="7" t="s">
        <v>60</v>
      </c>
      <c r="J49" s="7" t="s">
        <v>972</v>
      </c>
    </row>
    <row r="50" customFormat="false" ht="15" hidden="false" customHeight="false" outlineLevel="0" collapsed="false">
      <c r="A50" s="7" t="s">
        <v>948</v>
      </c>
      <c r="B50" s="7" t="s">
        <v>973</v>
      </c>
      <c r="C50" s="7" t="s">
        <v>974</v>
      </c>
      <c r="D50" s="7" t="s">
        <v>975</v>
      </c>
      <c r="E50" s="7" t="s">
        <v>85</v>
      </c>
      <c r="F50" s="7" t="s">
        <v>38</v>
      </c>
      <c r="G50" s="7" t="n">
        <v>10</v>
      </c>
      <c r="H50" s="7" t="s">
        <v>949</v>
      </c>
      <c r="I50" s="7" t="s">
        <v>60</v>
      </c>
      <c r="J50" s="7"/>
    </row>
    <row r="51" customFormat="false" ht="15" hidden="false" customHeight="false" outlineLevel="0" collapsed="false">
      <c r="A51" s="7" t="s">
        <v>948</v>
      </c>
      <c r="B51" s="7" t="s">
        <v>976</v>
      </c>
      <c r="C51" s="7" t="s">
        <v>977</v>
      </c>
      <c r="D51" s="7" t="s">
        <v>978</v>
      </c>
      <c r="E51" s="7" t="s">
        <v>85</v>
      </c>
      <c r="F51" s="7" t="s">
        <v>38</v>
      </c>
      <c r="G51" s="7" t="n">
        <v>8</v>
      </c>
      <c r="H51" s="7" t="s">
        <v>979</v>
      </c>
      <c r="I51" s="7" t="s">
        <v>60</v>
      </c>
      <c r="J51" s="7"/>
    </row>
    <row r="52" customFormat="false" ht="15" hidden="false" customHeight="false" outlineLevel="0" collapsed="false">
      <c r="A52" s="7" t="s">
        <v>948</v>
      </c>
      <c r="B52" s="7" t="s">
        <v>980</v>
      </c>
      <c r="C52" s="7" t="s">
        <v>981</v>
      </c>
      <c r="D52" s="7" t="s">
        <v>982</v>
      </c>
      <c r="E52" s="7" t="s">
        <v>85</v>
      </c>
      <c r="F52" s="7" t="s">
        <v>41</v>
      </c>
      <c r="G52" s="7" t="n">
        <v>12</v>
      </c>
      <c r="H52" s="7" t="s">
        <v>956</v>
      </c>
      <c r="I52" s="7" t="s">
        <v>60</v>
      </c>
      <c r="J52" s="7"/>
    </row>
    <row r="53" customFormat="false" ht="23.85" hidden="false" customHeight="false" outlineLevel="0" collapsed="false">
      <c r="A53" s="6" t="s">
        <v>983</v>
      </c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5" hidden="false" customHeight="false" outlineLevel="0" collapsed="false">
      <c r="A54" s="7" t="s">
        <v>984</v>
      </c>
      <c r="B54" s="7" t="s">
        <v>985</v>
      </c>
      <c r="C54" s="7" t="s">
        <v>986</v>
      </c>
      <c r="D54" s="7" t="s">
        <v>987</v>
      </c>
      <c r="E54" s="7" t="s">
        <v>85</v>
      </c>
      <c r="F54" s="7" t="s">
        <v>38</v>
      </c>
      <c r="G54" s="7" t="n">
        <v>12</v>
      </c>
      <c r="H54" s="7" t="s">
        <v>817</v>
      </c>
      <c r="I54" s="7" t="s">
        <v>60</v>
      </c>
      <c r="J54" s="7"/>
    </row>
    <row r="55" customFormat="false" ht="15" hidden="false" customHeight="false" outlineLevel="0" collapsed="false">
      <c r="A55" s="7" t="s">
        <v>984</v>
      </c>
      <c r="B55" s="7" t="s">
        <v>988</v>
      </c>
      <c r="C55" s="7" t="s">
        <v>989</v>
      </c>
      <c r="D55" s="7" t="s">
        <v>990</v>
      </c>
      <c r="E55" s="7" t="s">
        <v>85</v>
      </c>
      <c r="F55" s="7" t="s">
        <v>41</v>
      </c>
      <c r="G55" s="7" t="n">
        <v>8</v>
      </c>
      <c r="H55" s="7" t="s">
        <v>985</v>
      </c>
      <c r="I55" s="7" t="s">
        <v>60</v>
      </c>
      <c r="J55" s="7"/>
    </row>
    <row r="56" customFormat="false" ht="15" hidden="false" customHeight="false" outlineLevel="0" collapsed="false">
      <c r="A56" s="7" t="s">
        <v>984</v>
      </c>
      <c r="B56" s="7" t="s">
        <v>991</v>
      </c>
      <c r="C56" s="7" t="s">
        <v>992</v>
      </c>
      <c r="D56" s="7" t="s">
        <v>993</v>
      </c>
      <c r="E56" s="7" t="s">
        <v>85</v>
      </c>
      <c r="F56" s="7" t="s">
        <v>38</v>
      </c>
      <c r="G56" s="7" t="n">
        <v>12</v>
      </c>
      <c r="H56" s="7" t="s">
        <v>985</v>
      </c>
      <c r="I56" s="7" t="s">
        <v>60</v>
      </c>
      <c r="J56" s="7"/>
    </row>
    <row r="57" customFormat="false" ht="15" hidden="false" customHeight="false" outlineLevel="0" collapsed="false">
      <c r="A57" s="7" t="s">
        <v>984</v>
      </c>
      <c r="B57" s="7" t="s">
        <v>994</v>
      </c>
      <c r="C57" s="7" t="s">
        <v>995</v>
      </c>
      <c r="D57" s="7" t="s">
        <v>996</v>
      </c>
      <c r="E57" s="7" t="s">
        <v>85</v>
      </c>
      <c r="F57" s="7" t="s">
        <v>35</v>
      </c>
      <c r="G57" s="7" t="n">
        <v>10</v>
      </c>
      <c r="H57" s="7" t="s">
        <v>997</v>
      </c>
      <c r="I57" s="7" t="s">
        <v>60</v>
      </c>
      <c r="J57" s="7"/>
    </row>
    <row r="58" customFormat="false" ht="15" hidden="false" customHeight="false" outlineLevel="0" collapsed="false">
      <c r="A58" s="7" t="s">
        <v>984</v>
      </c>
      <c r="B58" s="7" t="s">
        <v>998</v>
      </c>
      <c r="C58" s="7" t="s">
        <v>999</v>
      </c>
      <c r="D58" s="7" t="s">
        <v>1000</v>
      </c>
      <c r="E58" s="7" t="s">
        <v>85</v>
      </c>
      <c r="F58" s="7" t="s">
        <v>38</v>
      </c>
      <c r="G58" s="7" t="n">
        <v>10</v>
      </c>
      <c r="H58" s="7" t="s">
        <v>1001</v>
      </c>
      <c r="I58" s="7" t="s">
        <v>60</v>
      </c>
      <c r="J58" s="7"/>
    </row>
    <row r="59" customFormat="false" ht="15" hidden="false" customHeight="false" outlineLevel="0" collapsed="false">
      <c r="A59" s="7" t="s">
        <v>984</v>
      </c>
      <c r="B59" s="7" t="s">
        <v>1002</v>
      </c>
      <c r="C59" s="7" t="s">
        <v>1003</v>
      </c>
      <c r="D59" s="7" t="s">
        <v>1004</v>
      </c>
      <c r="E59" s="7" t="s">
        <v>85</v>
      </c>
      <c r="F59" s="7" t="s">
        <v>38</v>
      </c>
      <c r="G59" s="7" t="n">
        <v>10</v>
      </c>
      <c r="H59" s="7" t="s">
        <v>985</v>
      </c>
      <c r="I59" s="7" t="s">
        <v>60</v>
      </c>
      <c r="J59" s="7" t="s">
        <v>1005</v>
      </c>
    </row>
    <row r="60" customFormat="false" ht="15" hidden="false" customHeight="false" outlineLevel="0" collapsed="false">
      <c r="A60" s="7" t="s">
        <v>984</v>
      </c>
      <c r="B60" s="7" t="s">
        <v>1006</v>
      </c>
      <c r="C60" s="7" t="s">
        <v>1007</v>
      </c>
      <c r="D60" s="7" t="s">
        <v>1008</v>
      </c>
      <c r="E60" s="7" t="s">
        <v>85</v>
      </c>
      <c r="F60" s="7" t="s">
        <v>41</v>
      </c>
      <c r="G60" s="7" t="n">
        <v>8</v>
      </c>
      <c r="H60" s="7" t="s">
        <v>985</v>
      </c>
      <c r="I60" s="7" t="s">
        <v>60</v>
      </c>
      <c r="J60" s="7"/>
    </row>
    <row r="61" customFormat="false" ht="23.85" hidden="false" customHeight="false" outlineLevel="0" collapsed="false">
      <c r="A61" s="6" t="s">
        <v>1009</v>
      </c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" hidden="false" customHeight="false" outlineLevel="0" collapsed="false">
      <c r="A62" s="7" t="s">
        <v>1010</v>
      </c>
      <c r="B62" s="7" t="s">
        <v>1011</v>
      </c>
      <c r="C62" s="7" t="s">
        <v>1012</v>
      </c>
      <c r="D62" s="7" t="s">
        <v>1013</v>
      </c>
      <c r="E62" s="7" t="s">
        <v>85</v>
      </c>
      <c r="F62" s="7" t="s">
        <v>38</v>
      </c>
      <c r="G62" s="7" t="n">
        <v>8</v>
      </c>
      <c r="H62" s="7" t="s">
        <v>810</v>
      </c>
      <c r="I62" s="7" t="s">
        <v>60</v>
      </c>
      <c r="J62" s="7" t="s">
        <v>1014</v>
      </c>
    </row>
    <row r="63" customFormat="false" ht="15" hidden="false" customHeight="false" outlineLevel="0" collapsed="false">
      <c r="A63" s="7" t="s">
        <v>1015</v>
      </c>
      <c r="B63" s="7" t="s">
        <v>1015</v>
      </c>
      <c r="C63" s="7" t="s">
        <v>1016</v>
      </c>
      <c r="D63" s="7" t="s">
        <v>1017</v>
      </c>
      <c r="E63" s="7" t="s">
        <v>85</v>
      </c>
      <c r="F63" s="7" t="s">
        <v>38</v>
      </c>
      <c r="G63" s="7" t="n">
        <v>10</v>
      </c>
      <c r="H63" s="7" t="s">
        <v>810</v>
      </c>
      <c r="I63" s="7" t="s">
        <v>60</v>
      </c>
      <c r="J63" s="7" t="s">
        <v>1018</v>
      </c>
    </row>
    <row r="64" customFormat="false" ht="15" hidden="false" customHeight="false" outlineLevel="0" collapsed="false">
      <c r="A64" s="7" t="s">
        <v>1010</v>
      </c>
      <c r="B64" s="7" t="s">
        <v>1019</v>
      </c>
      <c r="C64" s="7" t="s">
        <v>1020</v>
      </c>
      <c r="D64" s="7" t="s">
        <v>1021</v>
      </c>
      <c r="E64" s="7" t="s">
        <v>85</v>
      </c>
      <c r="F64" s="7" t="s">
        <v>38</v>
      </c>
      <c r="G64" s="7" t="n">
        <v>6</v>
      </c>
      <c r="H64" s="7" t="s">
        <v>810</v>
      </c>
      <c r="I64" s="7" t="s">
        <v>60</v>
      </c>
      <c r="J64" s="7"/>
    </row>
    <row r="65" customFormat="false" ht="15" hidden="false" customHeight="false" outlineLevel="0" collapsed="false">
      <c r="A65" s="7" t="s">
        <v>1010</v>
      </c>
      <c r="B65" s="7" t="s">
        <v>1022</v>
      </c>
      <c r="C65" s="7" t="s">
        <v>1023</v>
      </c>
      <c r="D65" s="7" t="s">
        <v>1024</v>
      </c>
      <c r="E65" s="7" t="s">
        <v>85</v>
      </c>
      <c r="F65" s="7" t="s">
        <v>41</v>
      </c>
      <c r="G65" s="7" t="n">
        <v>6</v>
      </c>
      <c r="H65" s="7" t="s">
        <v>888</v>
      </c>
      <c r="I65" s="7" t="s">
        <v>60</v>
      </c>
      <c r="J65" s="7" t="s">
        <v>1025</v>
      </c>
    </row>
    <row r="66" customFormat="false" ht="15" hidden="false" customHeight="false" outlineLevel="0" collapsed="false">
      <c r="A66" s="7" t="s">
        <v>1010</v>
      </c>
      <c r="B66" s="7" t="s">
        <v>1026</v>
      </c>
      <c r="C66" s="7" t="s">
        <v>1027</v>
      </c>
      <c r="D66" s="7" t="s">
        <v>1028</v>
      </c>
      <c r="E66" s="7" t="s">
        <v>85</v>
      </c>
      <c r="F66" s="7" t="s">
        <v>38</v>
      </c>
      <c r="G66" s="7" t="n">
        <v>6</v>
      </c>
      <c r="H66" s="7" t="s">
        <v>907</v>
      </c>
      <c r="I66" s="7" t="s">
        <v>60</v>
      </c>
      <c r="J66" s="7"/>
    </row>
    <row r="67" customFormat="false" ht="15" hidden="false" customHeight="false" outlineLevel="0" collapsed="false">
      <c r="A67" s="6" t="s">
        <v>1029</v>
      </c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5" hidden="false" customHeight="false" outlineLevel="0" collapsed="false">
      <c r="A68" s="7" t="s">
        <v>1030</v>
      </c>
      <c r="B68" s="7" t="s">
        <v>1031</v>
      </c>
      <c r="C68" s="7" t="s">
        <v>1032</v>
      </c>
      <c r="D68" s="7" t="s">
        <v>1033</v>
      </c>
      <c r="E68" s="7" t="s">
        <v>85</v>
      </c>
      <c r="F68" s="7" t="s">
        <v>41</v>
      </c>
      <c r="G68" s="7" t="n">
        <v>10</v>
      </c>
      <c r="H68" s="7" t="s">
        <v>842</v>
      </c>
      <c r="I68" s="7" t="s">
        <v>60</v>
      </c>
      <c r="J68" s="7"/>
    </row>
    <row r="69" customFormat="false" ht="15" hidden="false" customHeight="false" outlineLevel="0" collapsed="false">
      <c r="A69" s="7" t="s">
        <v>1030</v>
      </c>
      <c r="B69" s="7" t="s">
        <v>1034</v>
      </c>
      <c r="C69" s="7" t="s">
        <v>1035</v>
      </c>
      <c r="D69" s="7" t="s">
        <v>1036</v>
      </c>
      <c r="E69" s="7" t="s">
        <v>85</v>
      </c>
      <c r="F69" s="7" t="s">
        <v>38</v>
      </c>
      <c r="G69" s="7" t="n">
        <v>20</v>
      </c>
      <c r="H69" s="7" t="s">
        <v>1031</v>
      </c>
      <c r="I69" s="7" t="s">
        <v>60</v>
      </c>
      <c r="J69" s="7" t="s">
        <v>1037</v>
      </c>
    </row>
    <row r="70" customFormat="false" ht="15" hidden="false" customHeight="false" outlineLevel="0" collapsed="false">
      <c r="A70" s="7" t="s">
        <v>1030</v>
      </c>
      <c r="B70" s="7" t="s">
        <v>1038</v>
      </c>
      <c r="C70" s="7" t="s">
        <v>1039</v>
      </c>
      <c r="D70" s="7" t="s">
        <v>1040</v>
      </c>
      <c r="E70" s="7" t="s">
        <v>85</v>
      </c>
      <c r="F70" s="7" t="s">
        <v>43</v>
      </c>
      <c r="G70" s="7" t="n">
        <v>8</v>
      </c>
      <c r="H70" s="7" t="s">
        <v>1034</v>
      </c>
      <c r="I70" s="7" t="s">
        <v>60</v>
      </c>
      <c r="J7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23.85" hidden="false" customHeight="false" outlineLevel="0" collapsed="false">
      <c r="A2" s="6" t="s">
        <v>1041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7" t="s">
        <v>1042</v>
      </c>
      <c r="B3" s="7" t="s">
        <v>1043</v>
      </c>
      <c r="C3" s="7" t="s">
        <v>1044</v>
      </c>
      <c r="D3" s="7" t="s">
        <v>1045</v>
      </c>
      <c r="E3" s="7" t="s">
        <v>74</v>
      </c>
      <c r="F3" s="7" t="s">
        <v>38</v>
      </c>
      <c r="G3" s="7" t="n">
        <v>6</v>
      </c>
      <c r="H3" s="7" t="s">
        <v>213</v>
      </c>
      <c r="I3" s="7" t="s">
        <v>60</v>
      </c>
      <c r="J3" s="7"/>
    </row>
    <row r="4" customFormat="false" ht="15" hidden="false" customHeight="false" outlineLevel="0" collapsed="false">
      <c r="A4" s="7" t="s">
        <v>1042</v>
      </c>
      <c r="B4" s="7" t="s">
        <v>1046</v>
      </c>
      <c r="C4" s="7" t="s">
        <v>1047</v>
      </c>
      <c r="D4" s="7" t="s">
        <v>1048</v>
      </c>
      <c r="E4" s="7" t="s">
        <v>85</v>
      </c>
      <c r="F4" s="7" t="s">
        <v>38</v>
      </c>
      <c r="G4" s="7" t="n">
        <v>6</v>
      </c>
      <c r="H4" s="7" t="s">
        <v>810</v>
      </c>
      <c r="I4" s="7" t="s">
        <v>60</v>
      </c>
      <c r="J4" s="7"/>
    </row>
    <row r="5" customFormat="false" ht="15" hidden="false" customHeight="false" outlineLevel="0" collapsed="false">
      <c r="A5" s="7" t="s">
        <v>1042</v>
      </c>
      <c r="B5" s="7" t="s">
        <v>1049</v>
      </c>
      <c r="C5" s="7" t="s">
        <v>1050</v>
      </c>
      <c r="D5" s="7" t="s">
        <v>1051</v>
      </c>
      <c r="E5" s="7" t="s">
        <v>74</v>
      </c>
      <c r="F5" s="7" t="s">
        <v>38</v>
      </c>
      <c r="G5" s="7" t="n">
        <v>4</v>
      </c>
      <c r="H5" s="7" t="s">
        <v>173</v>
      </c>
      <c r="I5" s="7" t="s">
        <v>60</v>
      </c>
      <c r="J5" s="7"/>
    </row>
    <row r="6" customFormat="false" ht="15" hidden="false" customHeight="false" outlineLevel="0" collapsed="false">
      <c r="A6" s="7" t="s">
        <v>1042</v>
      </c>
      <c r="B6" s="7" t="s">
        <v>1052</v>
      </c>
      <c r="C6" s="7" t="s">
        <v>1053</v>
      </c>
      <c r="D6" s="7" t="s">
        <v>1054</v>
      </c>
      <c r="E6" s="7" t="s">
        <v>59</v>
      </c>
      <c r="F6" s="7" t="s">
        <v>38</v>
      </c>
      <c r="G6" s="7" t="n">
        <v>4</v>
      </c>
      <c r="H6" s="7" t="s">
        <v>1055</v>
      </c>
      <c r="I6" s="7" t="s">
        <v>60</v>
      </c>
      <c r="J6" s="7" t="s">
        <v>1056</v>
      </c>
    </row>
    <row r="7" customFormat="false" ht="15" hidden="false" customHeight="false" outlineLevel="0" collapsed="false">
      <c r="A7" s="7" t="s">
        <v>1042</v>
      </c>
      <c r="B7" s="7" t="s">
        <v>1057</v>
      </c>
      <c r="C7" s="7" t="s">
        <v>1058</v>
      </c>
      <c r="D7" s="7" t="s">
        <v>1059</v>
      </c>
      <c r="E7" s="7" t="s">
        <v>74</v>
      </c>
      <c r="F7" s="7" t="s">
        <v>38</v>
      </c>
      <c r="G7" s="7" t="n">
        <v>10</v>
      </c>
      <c r="H7" s="7" t="s">
        <v>1060</v>
      </c>
      <c r="I7" s="7" t="s">
        <v>60</v>
      </c>
      <c r="J7" s="7" t="s">
        <v>1061</v>
      </c>
    </row>
    <row r="8" customFormat="false" ht="15" hidden="false" customHeight="false" outlineLevel="0" collapsed="false">
      <c r="A8" s="7" t="s">
        <v>1042</v>
      </c>
      <c r="B8" s="7" t="s">
        <v>1062</v>
      </c>
      <c r="C8" s="7" t="s">
        <v>1063</v>
      </c>
      <c r="D8" s="7" t="s">
        <v>1064</v>
      </c>
      <c r="E8" s="7" t="s">
        <v>74</v>
      </c>
      <c r="F8" s="7" t="s">
        <v>38</v>
      </c>
      <c r="G8" s="7" t="n">
        <v>8</v>
      </c>
      <c r="H8" s="7" t="s">
        <v>1043</v>
      </c>
      <c r="I8" s="7" t="s">
        <v>60</v>
      </c>
      <c r="J8" s="7" t="s">
        <v>1065</v>
      </c>
    </row>
    <row r="9" customFormat="false" ht="15" hidden="false" customHeight="false" outlineLevel="0" collapsed="false">
      <c r="A9" s="6" t="s">
        <v>1066</v>
      </c>
      <c r="B9" s="6"/>
      <c r="C9" s="6"/>
      <c r="D9" s="6"/>
      <c r="E9" s="6"/>
      <c r="F9" s="6"/>
      <c r="G9" s="6"/>
      <c r="H9" s="6"/>
      <c r="I9" s="6"/>
      <c r="J9" s="6"/>
    </row>
    <row r="10" customFormat="false" ht="15" hidden="false" customHeight="false" outlineLevel="0" collapsed="false">
      <c r="A10" s="7" t="s">
        <v>1067</v>
      </c>
      <c r="B10" s="7" t="s">
        <v>1068</v>
      </c>
      <c r="C10" s="7" t="s">
        <v>1069</v>
      </c>
      <c r="D10" s="7" t="s">
        <v>1070</v>
      </c>
      <c r="E10" s="7" t="s">
        <v>74</v>
      </c>
      <c r="F10" s="7" t="s">
        <v>38</v>
      </c>
      <c r="G10" s="7" t="n">
        <v>12</v>
      </c>
      <c r="H10" s="7" t="s">
        <v>1071</v>
      </c>
      <c r="I10" s="7" t="s">
        <v>60</v>
      </c>
      <c r="J10" s="7"/>
    </row>
    <row r="11" customFormat="false" ht="15" hidden="false" customHeight="false" outlineLevel="0" collapsed="false">
      <c r="A11" s="7" t="s">
        <v>1067</v>
      </c>
      <c r="B11" s="7" t="s">
        <v>1072</v>
      </c>
      <c r="C11" s="7" t="s">
        <v>1073</v>
      </c>
      <c r="D11" s="7" t="s">
        <v>1074</v>
      </c>
      <c r="E11" s="7" t="s">
        <v>74</v>
      </c>
      <c r="F11" s="7" t="s">
        <v>38</v>
      </c>
      <c r="G11" s="7" t="n">
        <v>16</v>
      </c>
      <c r="H11" s="7" t="s">
        <v>1075</v>
      </c>
      <c r="I11" s="7" t="s">
        <v>60</v>
      </c>
      <c r="J11" s="7"/>
    </row>
    <row r="12" customFormat="false" ht="15" hidden="false" customHeight="false" outlineLevel="0" collapsed="false">
      <c r="A12" s="7" t="s">
        <v>1067</v>
      </c>
      <c r="B12" s="7" t="s">
        <v>1076</v>
      </c>
      <c r="C12" s="7" t="s">
        <v>1077</v>
      </c>
      <c r="D12" s="7" t="s">
        <v>1078</v>
      </c>
      <c r="E12" s="7" t="s">
        <v>74</v>
      </c>
      <c r="F12" s="7" t="s">
        <v>38</v>
      </c>
      <c r="G12" s="7" t="n">
        <v>16</v>
      </c>
      <c r="H12" s="7" t="s">
        <v>1079</v>
      </c>
      <c r="I12" s="7" t="s">
        <v>60</v>
      </c>
      <c r="J12" s="7"/>
    </row>
    <row r="13" customFormat="false" ht="15" hidden="false" customHeight="false" outlineLevel="0" collapsed="false">
      <c r="A13" s="7" t="s">
        <v>1067</v>
      </c>
      <c r="B13" s="7" t="s">
        <v>1080</v>
      </c>
      <c r="C13" s="7" t="s">
        <v>1081</v>
      </c>
      <c r="D13" s="7" t="s">
        <v>1082</v>
      </c>
      <c r="E13" s="7" t="s">
        <v>74</v>
      </c>
      <c r="F13" s="7" t="s">
        <v>38</v>
      </c>
      <c r="G13" s="7" t="n">
        <v>20</v>
      </c>
      <c r="H13" s="7" t="s">
        <v>1083</v>
      </c>
      <c r="I13" s="7" t="s">
        <v>60</v>
      </c>
      <c r="J13" s="7"/>
    </row>
    <row r="14" customFormat="false" ht="15" hidden="false" customHeight="false" outlineLevel="0" collapsed="false">
      <c r="A14" s="7" t="s">
        <v>1067</v>
      </c>
      <c r="B14" s="7" t="s">
        <v>1084</v>
      </c>
      <c r="C14" s="7" t="s">
        <v>1085</v>
      </c>
      <c r="D14" s="7" t="s">
        <v>1086</v>
      </c>
      <c r="E14" s="7" t="s">
        <v>74</v>
      </c>
      <c r="F14" s="7" t="s">
        <v>41</v>
      </c>
      <c r="G14" s="7" t="n">
        <v>10</v>
      </c>
      <c r="H14" s="7" t="s">
        <v>1087</v>
      </c>
      <c r="I14" s="7" t="s">
        <v>60</v>
      </c>
      <c r="J14" s="7"/>
    </row>
    <row r="15" customFormat="false" ht="15" hidden="false" customHeight="false" outlineLevel="0" collapsed="false">
      <c r="A15" s="7" t="s">
        <v>1067</v>
      </c>
      <c r="B15" s="7" t="s">
        <v>1088</v>
      </c>
      <c r="C15" s="7" t="s">
        <v>1089</v>
      </c>
      <c r="D15" s="7" t="s">
        <v>1090</v>
      </c>
      <c r="E15" s="7" t="s">
        <v>74</v>
      </c>
      <c r="F15" s="7" t="s">
        <v>38</v>
      </c>
      <c r="G15" s="7" t="n">
        <v>12</v>
      </c>
      <c r="H15" s="7" t="s">
        <v>1091</v>
      </c>
      <c r="I15" s="7" t="s">
        <v>60</v>
      </c>
      <c r="J15" s="7"/>
    </row>
    <row r="16" customFormat="false" ht="15" hidden="false" customHeight="false" outlineLevel="0" collapsed="false">
      <c r="A16" s="7" t="s">
        <v>1067</v>
      </c>
      <c r="B16" s="7" t="s">
        <v>1092</v>
      </c>
      <c r="C16" s="7" t="s">
        <v>1093</v>
      </c>
      <c r="D16" s="7" t="s">
        <v>1094</v>
      </c>
      <c r="E16" s="7" t="s">
        <v>74</v>
      </c>
      <c r="F16" s="7" t="s">
        <v>38</v>
      </c>
      <c r="G16" s="7" t="n">
        <v>12</v>
      </c>
      <c r="H16" s="7" t="s">
        <v>1095</v>
      </c>
      <c r="I16" s="7" t="s">
        <v>60</v>
      </c>
      <c r="J16" s="7" t="s">
        <v>1096</v>
      </c>
    </row>
    <row r="17" customFormat="false" ht="15" hidden="false" customHeight="false" outlineLevel="0" collapsed="false">
      <c r="A17" s="7" t="s">
        <v>1067</v>
      </c>
      <c r="B17" s="7" t="s">
        <v>1097</v>
      </c>
      <c r="C17" s="7" t="s">
        <v>1098</v>
      </c>
      <c r="D17" s="7" t="s">
        <v>1099</v>
      </c>
      <c r="E17" s="7" t="s">
        <v>74</v>
      </c>
      <c r="F17" s="7" t="s">
        <v>35</v>
      </c>
      <c r="G17" s="7" t="n">
        <v>20</v>
      </c>
      <c r="H17" s="7" t="s">
        <v>1100</v>
      </c>
      <c r="I17" s="7" t="s">
        <v>60</v>
      </c>
      <c r="J17" s="7" t="s">
        <v>1101</v>
      </c>
    </row>
    <row r="18" customFormat="false" ht="15" hidden="false" customHeight="false" outlineLevel="0" collapsed="false">
      <c r="A18" s="7" t="s">
        <v>1067</v>
      </c>
      <c r="B18" s="7" t="s">
        <v>1102</v>
      </c>
      <c r="C18" s="7" t="s">
        <v>1103</v>
      </c>
      <c r="D18" s="7" t="s">
        <v>1104</v>
      </c>
      <c r="E18" s="7" t="s">
        <v>74</v>
      </c>
      <c r="F18" s="7" t="s">
        <v>38</v>
      </c>
      <c r="G18" s="7" t="n">
        <v>12</v>
      </c>
      <c r="H18" s="7" t="s">
        <v>1105</v>
      </c>
      <c r="I18" s="7" t="s">
        <v>60</v>
      </c>
      <c r="J18" s="7"/>
    </row>
    <row r="19" customFormat="false" ht="23.85" hidden="false" customHeight="false" outlineLevel="0" collapsed="false">
      <c r="A19" s="7" t="s">
        <v>1067</v>
      </c>
      <c r="B19" s="7" t="s">
        <v>1106</v>
      </c>
      <c r="C19" s="7" t="s">
        <v>1107</v>
      </c>
      <c r="D19" s="7" t="s">
        <v>1108</v>
      </c>
      <c r="E19" s="7" t="s">
        <v>74</v>
      </c>
      <c r="F19" s="7" t="s">
        <v>38</v>
      </c>
      <c r="G19" s="7" t="n">
        <v>16</v>
      </c>
      <c r="H19" s="7" t="s">
        <v>1109</v>
      </c>
      <c r="I19" s="7" t="s">
        <v>60</v>
      </c>
      <c r="J19" s="7"/>
    </row>
    <row r="20" customFormat="false" ht="23.85" hidden="false" customHeight="false" outlineLevel="0" collapsed="false">
      <c r="A20" s="6" t="s">
        <v>1110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7" t="s">
        <v>1111</v>
      </c>
      <c r="B21" s="7" t="s">
        <v>1112</v>
      </c>
      <c r="C21" s="7" t="s">
        <v>1113</v>
      </c>
      <c r="D21" s="7" t="s">
        <v>1114</v>
      </c>
      <c r="E21" s="7" t="s">
        <v>85</v>
      </c>
      <c r="F21" s="7" t="s">
        <v>38</v>
      </c>
      <c r="G21" s="7" t="n">
        <v>12</v>
      </c>
      <c r="H21" s="7" t="s">
        <v>1115</v>
      </c>
      <c r="I21" s="7" t="s">
        <v>60</v>
      </c>
      <c r="J21" s="7"/>
    </row>
    <row r="22" customFormat="false" ht="15" hidden="false" customHeight="false" outlineLevel="0" collapsed="false">
      <c r="A22" s="7" t="s">
        <v>1111</v>
      </c>
      <c r="B22" s="7" t="s">
        <v>1116</v>
      </c>
      <c r="C22" s="7" t="s">
        <v>1117</v>
      </c>
      <c r="D22" s="7" t="s">
        <v>1118</v>
      </c>
      <c r="E22" s="7" t="s">
        <v>85</v>
      </c>
      <c r="F22" s="7" t="s">
        <v>38</v>
      </c>
      <c r="G22" s="7" t="n">
        <v>10</v>
      </c>
      <c r="H22" s="7" t="s">
        <v>1119</v>
      </c>
      <c r="I22" s="7" t="s">
        <v>60</v>
      </c>
      <c r="J22" s="7"/>
    </row>
    <row r="23" customFormat="false" ht="15" hidden="false" customHeight="false" outlineLevel="0" collapsed="false">
      <c r="A23" s="7" t="s">
        <v>1111</v>
      </c>
      <c r="B23" s="7" t="s">
        <v>1120</v>
      </c>
      <c r="C23" s="7" t="s">
        <v>1121</v>
      </c>
      <c r="D23" s="7" t="s">
        <v>1122</v>
      </c>
      <c r="E23" s="7" t="s">
        <v>85</v>
      </c>
      <c r="F23" s="7" t="s">
        <v>38</v>
      </c>
      <c r="G23" s="7" t="n">
        <v>12</v>
      </c>
      <c r="H23" s="7" t="s">
        <v>1123</v>
      </c>
      <c r="I23" s="7" t="s">
        <v>60</v>
      </c>
      <c r="J23" s="7"/>
    </row>
    <row r="24" customFormat="false" ht="15" hidden="false" customHeight="false" outlineLevel="0" collapsed="false">
      <c r="A24" s="7" t="s">
        <v>1111</v>
      </c>
      <c r="B24" s="7" t="s">
        <v>1124</v>
      </c>
      <c r="C24" s="7" t="s">
        <v>1125</v>
      </c>
      <c r="D24" s="7" t="s">
        <v>1126</v>
      </c>
      <c r="E24" s="7" t="s">
        <v>85</v>
      </c>
      <c r="F24" s="7" t="s">
        <v>41</v>
      </c>
      <c r="G24" s="7" t="n">
        <v>16</v>
      </c>
      <c r="H24" s="7" t="s">
        <v>1127</v>
      </c>
      <c r="I24" s="7" t="s">
        <v>60</v>
      </c>
      <c r="J24" s="7"/>
    </row>
    <row r="25" customFormat="false" ht="15" hidden="false" customHeight="false" outlineLevel="0" collapsed="false">
      <c r="A25" s="7" t="s">
        <v>1111</v>
      </c>
      <c r="B25" s="7" t="s">
        <v>1128</v>
      </c>
      <c r="C25" s="7" t="s">
        <v>1129</v>
      </c>
      <c r="D25" s="7" t="s">
        <v>1130</v>
      </c>
      <c r="E25" s="7" t="s">
        <v>85</v>
      </c>
      <c r="F25" s="7" t="s">
        <v>38</v>
      </c>
      <c r="G25" s="7" t="n">
        <v>10</v>
      </c>
      <c r="H25" s="7" t="s">
        <v>1131</v>
      </c>
      <c r="I25" s="7" t="s">
        <v>60</v>
      </c>
      <c r="J25" s="7"/>
    </row>
    <row r="26" customFormat="false" ht="15" hidden="false" customHeight="false" outlineLevel="0" collapsed="false">
      <c r="A26" s="6" t="s">
        <v>1132</v>
      </c>
      <c r="B26" s="6"/>
      <c r="C26" s="6"/>
      <c r="D26" s="6"/>
      <c r="E26" s="6"/>
      <c r="F26" s="6"/>
      <c r="G26" s="6"/>
      <c r="H26" s="6"/>
      <c r="I26" s="6"/>
      <c r="J26" s="6"/>
    </row>
    <row r="27" customFormat="false" ht="23.85" hidden="false" customHeight="false" outlineLevel="0" collapsed="false">
      <c r="A27" s="7" t="s">
        <v>1133</v>
      </c>
      <c r="B27" s="7" t="s">
        <v>1134</v>
      </c>
      <c r="C27" s="7" t="s">
        <v>1135</v>
      </c>
      <c r="D27" s="7" t="s">
        <v>1136</v>
      </c>
      <c r="E27" s="7" t="s">
        <v>1137</v>
      </c>
      <c r="F27" s="7" t="s">
        <v>35</v>
      </c>
      <c r="G27" s="7" t="n">
        <v>20</v>
      </c>
      <c r="H27" s="7" t="s">
        <v>1138</v>
      </c>
      <c r="I27" s="7" t="s">
        <v>60</v>
      </c>
      <c r="J27" s="7" t="s">
        <v>1139</v>
      </c>
    </row>
    <row r="28" customFormat="false" ht="15" hidden="false" customHeight="false" outlineLevel="0" collapsed="false">
      <c r="A28" s="7" t="s">
        <v>1133</v>
      </c>
      <c r="B28" s="7" t="s">
        <v>1140</v>
      </c>
      <c r="C28" s="7" t="s">
        <v>1141</v>
      </c>
      <c r="D28" s="7" t="s">
        <v>1142</v>
      </c>
      <c r="E28" s="7" t="s">
        <v>1137</v>
      </c>
      <c r="F28" s="7" t="s">
        <v>38</v>
      </c>
      <c r="G28" s="7" t="n">
        <v>12</v>
      </c>
      <c r="H28" s="7" t="s">
        <v>1143</v>
      </c>
      <c r="I28" s="7" t="s">
        <v>60</v>
      </c>
      <c r="J28" s="7"/>
    </row>
    <row r="29" customFormat="false" ht="15" hidden="false" customHeight="false" outlineLevel="0" collapsed="false">
      <c r="A29" s="7" t="s">
        <v>1133</v>
      </c>
      <c r="B29" s="7" t="s">
        <v>1144</v>
      </c>
      <c r="C29" s="7" t="s">
        <v>1145</v>
      </c>
      <c r="D29" s="7" t="s">
        <v>1146</v>
      </c>
      <c r="E29" s="7" t="s">
        <v>1137</v>
      </c>
      <c r="F29" s="7" t="s">
        <v>38</v>
      </c>
      <c r="G29" s="7" t="n">
        <v>16</v>
      </c>
      <c r="H29" s="7" t="s">
        <v>1147</v>
      </c>
      <c r="I29" s="7" t="s">
        <v>60</v>
      </c>
      <c r="J29" s="7"/>
    </row>
    <row r="30" customFormat="false" ht="15" hidden="false" customHeight="false" outlineLevel="0" collapsed="false">
      <c r="A30" s="7" t="s">
        <v>1133</v>
      </c>
      <c r="B30" s="7" t="s">
        <v>1148</v>
      </c>
      <c r="C30" s="7" t="s">
        <v>1149</v>
      </c>
      <c r="D30" s="7" t="s">
        <v>1150</v>
      </c>
      <c r="E30" s="7" t="s">
        <v>1137</v>
      </c>
      <c r="F30" s="7" t="s">
        <v>38</v>
      </c>
      <c r="G30" s="7" t="n">
        <v>12</v>
      </c>
      <c r="H30" s="7" t="s">
        <v>238</v>
      </c>
      <c r="I30" s="7" t="s">
        <v>60</v>
      </c>
      <c r="J30" s="7"/>
    </row>
    <row r="31" customFormat="false" ht="15" hidden="false" customHeight="false" outlineLevel="0" collapsed="false">
      <c r="A31" s="7" t="s">
        <v>1133</v>
      </c>
      <c r="B31" s="7" t="s">
        <v>1151</v>
      </c>
      <c r="C31" s="7" t="s">
        <v>1152</v>
      </c>
      <c r="D31" s="7" t="s">
        <v>1153</v>
      </c>
      <c r="E31" s="7" t="s">
        <v>1137</v>
      </c>
      <c r="F31" s="7" t="s">
        <v>35</v>
      </c>
      <c r="G31" s="7" t="n">
        <v>12</v>
      </c>
      <c r="H31" s="7" t="s">
        <v>1154</v>
      </c>
      <c r="I31" s="7" t="s">
        <v>60</v>
      </c>
      <c r="J31" s="7"/>
    </row>
    <row r="32" customFormat="false" ht="15" hidden="false" customHeight="false" outlineLevel="0" collapsed="false">
      <c r="A32" s="6" t="s">
        <v>1155</v>
      </c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" hidden="false" customHeight="false" outlineLevel="0" collapsed="false">
      <c r="A33" s="7" t="s">
        <v>1156</v>
      </c>
      <c r="B33" s="7" t="s">
        <v>1157</v>
      </c>
      <c r="C33" s="7" t="s">
        <v>1158</v>
      </c>
      <c r="D33" s="7" t="s">
        <v>1159</v>
      </c>
      <c r="E33" s="7" t="s">
        <v>1137</v>
      </c>
      <c r="F33" s="7" t="s">
        <v>38</v>
      </c>
      <c r="G33" s="7" t="n">
        <v>8</v>
      </c>
      <c r="H33" s="7" t="s">
        <v>810</v>
      </c>
      <c r="I33" s="7" t="s">
        <v>60</v>
      </c>
      <c r="J33" s="7"/>
    </row>
    <row r="34" customFormat="false" ht="15" hidden="false" customHeight="false" outlineLevel="0" collapsed="false">
      <c r="A34" s="7" t="s">
        <v>1156</v>
      </c>
      <c r="B34" s="7" t="s">
        <v>1160</v>
      </c>
      <c r="C34" s="7" t="s">
        <v>1161</v>
      </c>
      <c r="D34" s="7" t="s">
        <v>1162</v>
      </c>
      <c r="E34" s="7" t="s">
        <v>1137</v>
      </c>
      <c r="F34" s="7" t="s">
        <v>38</v>
      </c>
      <c r="G34" s="7" t="n">
        <v>8</v>
      </c>
      <c r="H34" s="7" t="s">
        <v>1163</v>
      </c>
      <c r="I34" s="7" t="s">
        <v>60</v>
      </c>
      <c r="J34" s="7"/>
    </row>
    <row r="35" customFormat="false" ht="15" hidden="false" customHeight="false" outlineLevel="0" collapsed="false">
      <c r="A35" s="7" t="s">
        <v>1156</v>
      </c>
      <c r="B35" s="7" t="s">
        <v>1164</v>
      </c>
      <c r="C35" s="7" t="s">
        <v>1165</v>
      </c>
      <c r="D35" s="7" t="s">
        <v>1166</v>
      </c>
      <c r="E35" s="7" t="s">
        <v>1137</v>
      </c>
      <c r="F35" s="7" t="s">
        <v>35</v>
      </c>
      <c r="G35" s="7" t="n">
        <v>12</v>
      </c>
      <c r="H35" s="7" t="s">
        <v>1167</v>
      </c>
      <c r="I35" s="7" t="s">
        <v>60</v>
      </c>
      <c r="J35" s="7"/>
    </row>
    <row r="36" customFormat="false" ht="15" hidden="false" customHeight="false" outlineLevel="0" collapsed="false">
      <c r="A36" s="7" t="s">
        <v>1156</v>
      </c>
      <c r="B36" s="7" t="s">
        <v>1168</v>
      </c>
      <c r="C36" s="7" t="s">
        <v>1169</v>
      </c>
      <c r="D36" s="7" t="s">
        <v>1170</v>
      </c>
      <c r="E36" s="7" t="s">
        <v>1137</v>
      </c>
      <c r="F36" s="7" t="s">
        <v>38</v>
      </c>
      <c r="G36" s="7" t="n">
        <v>8</v>
      </c>
      <c r="H36" s="7" t="s">
        <v>1171</v>
      </c>
      <c r="I36" s="7" t="s">
        <v>60</v>
      </c>
      <c r="J36" s="7"/>
    </row>
    <row r="37" customFormat="false" ht="15" hidden="false" customHeight="false" outlineLevel="0" collapsed="false">
      <c r="A37" s="7" t="s">
        <v>1156</v>
      </c>
      <c r="B37" s="7" t="s">
        <v>1172</v>
      </c>
      <c r="C37" s="7" t="s">
        <v>1173</v>
      </c>
      <c r="D37" s="7" t="s">
        <v>1174</v>
      </c>
      <c r="E37" s="7" t="s">
        <v>1137</v>
      </c>
      <c r="F37" s="7" t="s">
        <v>35</v>
      </c>
      <c r="G37" s="7" t="n">
        <v>16</v>
      </c>
      <c r="H37" s="7" t="s">
        <v>1175</v>
      </c>
      <c r="I37" s="7" t="s">
        <v>60</v>
      </c>
      <c r="J37" s="7"/>
    </row>
    <row r="38" customFormat="false" ht="15" hidden="false" customHeight="false" outlineLevel="0" collapsed="false">
      <c r="A38" s="7" t="s">
        <v>1156</v>
      </c>
      <c r="B38" s="7" t="s">
        <v>1176</v>
      </c>
      <c r="C38" s="7" t="s">
        <v>1177</v>
      </c>
      <c r="D38" s="7" t="s">
        <v>1178</v>
      </c>
      <c r="E38" s="7" t="s">
        <v>1137</v>
      </c>
      <c r="F38" s="7" t="s">
        <v>41</v>
      </c>
      <c r="G38" s="7" t="n">
        <v>10</v>
      </c>
      <c r="H38" s="7" t="s">
        <v>1179</v>
      </c>
      <c r="I38" s="7" t="s">
        <v>60</v>
      </c>
      <c r="J38" s="7"/>
    </row>
    <row r="39" customFormat="false" ht="15" hidden="false" customHeight="false" outlineLevel="0" collapsed="false">
      <c r="A39" s="6" t="s">
        <v>1180</v>
      </c>
      <c r="B39" s="6"/>
      <c r="C39" s="6"/>
      <c r="D39" s="6"/>
      <c r="E39" s="6"/>
      <c r="F39" s="6"/>
      <c r="G39" s="6"/>
      <c r="H39" s="6"/>
      <c r="I39" s="6"/>
      <c r="J39" s="6"/>
    </row>
    <row r="40" customFormat="false" ht="23.85" hidden="false" customHeight="false" outlineLevel="0" collapsed="false">
      <c r="A40" s="7" t="s">
        <v>1181</v>
      </c>
      <c r="B40" s="7" t="s">
        <v>1182</v>
      </c>
      <c r="C40" s="7" t="s">
        <v>1183</v>
      </c>
      <c r="D40" s="7" t="s">
        <v>1184</v>
      </c>
      <c r="E40" s="7" t="s">
        <v>1185</v>
      </c>
      <c r="F40" s="7" t="s">
        <v>38</v>
      </c>
      <c r="G40" s="7" t="n">
        <v>4</v>
      </c>
      <c r="H40" s="7"/>
      <c r="I40" s="7" t="s">
        <v>60</v>
      </c>
      <c r="J40" s="7" t="s">
        <v>1186</v>
      </c>
    </row>
    <row r="41" customFormat="false" ht="15" hidden="false" customHeight="false" outlineLevel="0" collapsed="false">
      <c r="A41" s="7" t="s">
        <v>1181</v>
      </c>
      <c r="B41" s="7" t="s">
        <v>1187</v>
      </c>
      <c r="C41" s="7" t="s">
        <v>1188</v>
      </c>
      <c r="D41" s="7" t="s">
        <v>1189</v>
      </c>
      <c r="E41" s="7" t="s">
        <v>85</v>
      </c>
      <c r="F41" s="7" t="s">
        <v>38</v>
      </c>
      <c r="G41" s="7" t="n">
        <v>6</v>
      </c>
      <c r="H41" s="7" t="s">
        <v>1190</v>
      </c>
      <c r="I41" s="7" t="s">
        <v>60</v>
      </c>
      <c r="J41" s="7"/>
    </row>
    <row r="42" customFormat="false" ht="15" hidden="false" customHeight="false" outlineLevel="0" collapsed="false">
      <c r="A42" s="7" t="s">
        <v>1181</v>
      </c>
      <c r="B42" s="7" t="s">
        <v>1191</v>
      </c>
      <c r="C42" s="7" t="s">
        <v>1192</v>
      </c>
      <c r="D42" s="7" t="s">
        <v>1193</v>
      </c>
      <c r="E42" s="7" t="s">
        <v>85</v>
      </c>
      <c r="F42" s="7" t="s">
        <v>38</v>
      </c>
      <c r="G42" s="7" t="n">
        <v>6</v>
      </c>
      <c r="H42" s="7" t="s">
        <v>1187</v>
      </c>
      <c r="I42" s="7" t="s">
        <v>60</v>
      </c>
      <c r="J42" s="7"/>
    </row>
    <row r="43" customFormat="false" ht="15" hidden="false" customHeight="false" outlineLevel="0" collapsed="false">
      <c r="A43" s="7" t="s">
        <v>1181</v>
      </c>
      <c r="B43" s="7" t="s">
        <v>1194</v>
      </c>
      <c r="C43" s="7" t="s">
        <v>1195</v>
      </c>
      <c r="D43" s="7" t="s">
        <v>1196</v>
      </c>
      <c r="E43" s="7" t="s">
        <v>85</v>
      </c>
      <c r="F43" s="7" t="s">
        <v>38</v>
      </c>
      <c r="G43" s="7" t="n">
        <v>4</v>
      </c>
      <c r="H43" s="7" t="s">
        <v>1197</v>
      </c>
      <c r="I43" s="7" t="s">
        <v>60</v>
      </c>
      <c r="J43" s="7"/>
    </row>
    <row r="44" customFormat="false" ht="15" hidden="false" customHeight="false" outlineLevel="0" collapsed="false">
      <c r="A44" s="6" t="s">
        <v>1198</v>
      </c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5" hidden="false" customHeight="false" outlineLevel="0" collapsed="false">
      <c r="A45" s="7" t="s">
        <v>1199</v>
      </c>
      <c r="B45" s="7" t="s">
        <v>1200</v>
      </c>
      <c r="C45" s="7" t="s">
        <v>1201</v>
      </c>
      <c r="D45" s="7" t="s">
        <v>1202</v>
      </c>
      <c r="E45" s="7" t="s">
        <v>85</v>
      </c>
      <c r="F45" s="7" t="s">
        <v>38</v>
      </c>
      <c r="G45" s="7" t="n">
        <v>4</v>
      </c>
      <c r="H45" s="7" t="s">
        <v>1203</v>
      </c>
      <c r="I45" s="7" t="s">
        <v>60</v>
      </c>
      <c r="J45" s="7" t="s">
        <v>1204</v>
      </c>
    </row>
    <row r="46" customFormat="false" ht="15" hidden="false" customHeight="false" outlineLevel="0" collapsed="false">
      <c r="A46" s="7" t="s">
        <v>1199</v>
      </c>
      <c r="B46" s="7" t="s">
        <v>1205</v>
      </c>
      <c r="C46" s="7" t="s">
        <v>1206</v>
      </c>
      <c r="D46" s="7" t="s">
        <v>1207</v>
      </c>
      <c r="E46" s="7" t="s">
        <v>74</v>
      </c>
      <c r="F46" s="7" t="s">
        <v>38</v>
      </c>
      <c r="G46" s="7" t="n">
        <v>4</v>
      </c>
      <c r="H46" s="7" t="s">
        <v>1208</v>
      </c>
      <c r="I46" s="7" t="s">
        <v>60</v>
      </c>
      <c r="J46" s="7" t="s">
        <v>1209</v>
      </c>
    </row>
    <row r="47" customFormat="false" ht="15" hidden="false" customHeight="false" outlineLevel="0" collapsed="false">
      <c r="A47" s="7" t="s">
        <v>1199</v>
      </c>
      <c r="B47" s="7" t="s">
        <v>1210</v>
      </c>
      <c r="C47" s="7" t="s">
        <v>1211</v>
      </c>
      <c r="D47" s="7" t="s">
        <v>1212</v>
      </c>
      <c r="E47" s="7" t="s">
        <v>85</v>
      </c>
      <c r="F47" s="7" t="s">
        <v>38</v>
      </c>
      <c r="G47" s="7" t="n">
        <v>4</v>
      </c>
      <c r="H47" s="7" t="s">
        <v>1213</v>
      </c>
      <c r="I47" s="7" t="s">
        <v>60</v>
      </c>
      <c r="J47" s="7" t="s">
        <v>1214</v>
      </c>
    </row>
    <row r="48" customFormat="false" ht="15" hidden="false" customHeight="false" outlineLevel="0" collapsed="false">
      <c r="A48" s="7" t="s">
        <v>1199</v>
      </c>
      <c r="B48" s="7" t="s">
        <v>1215</v>
      </c>
      <c r="C48" s="7" t="s">
        <v>1216</v>
      </c>
      <c r="D48" s="7" t="s">
        <v>1217</v>
      </c>
      <c r="E48" s="7" t="s">
        <v>74</v>
      </c>
      <c r="F48" s="7" t="s">
        <v>38</v>
      </c>
      <c r="G48" s="7" t="n">
        <v>4</v>
      </c>
      <c r="H48" s="7" t="s">
        <v>1218</v>
      </c>
      <c r="I48" s="7" t="s">
        <v>60</v>
      </c>
      <c r="J48" s="7" t="s">
        <v>1219</v>
      </c>
    </row>
    <row r="49" customFormat="false" ht="15" hidden="false" customHeight="false" outlineLevel="0" collapsed="false">
      <c r="A49" s="7" t="s">
        <v>1199</v>
      </c>
      <c r="B49" s="7" t="s">
        <v>1220</v>
      </c>
      <c r="C49" s="7" t="s">
        <v>1221</v>
      </c>
      <c r="D49" s="7" t="s">
        <v>1222</v>
      </c>
      <c r="E49" s="7" t="s">
        <v>85</v>
      </c>
      <c r="F49" s="7" t="s">
        <v>38</v>
      </c>
      <c r="G49" s="7" t="n">
        <v>4</v>
      </c>
      <c r="H49" s="7" t="s">
        <v>1223</v>
      </c>
      <c r="I49" s="7" t="s">
        <v>60</v>
      </c>
      <c r="J49" s="7" t="s">
        <v>1224</v>
      </c>
    </row>
    <row r="50" customFormat="false" ht="15" hidden="false" customHeight="false" outlineLevel="0" collapsed="false">
      <c r="A50" s="7" t="s">
        <v>1199</v>
      </c>
      <c r="B50" s="7" t="s">
        <v>1225</v>
      </c>
      <c r="C50" s="7" t="s">
        <v>1226</v>
      </c>
      <c r="D50" s="7" t="s">
        <v>1227</v>
      </c>
      <c r="E50" s="7" t="s">
        <v>85</v>
      </c>
      <c r="F50" s="7" t="s">
        <v>41</v>
      </c>
      <c r="G50" s="7" t="n">
        <v>4</v>
      </c>
      <c r="H50" s="7" t="s">
        <v>1228</v>
      </c>
      <c r="I50" s="7" t="s">
        <v>60</v>
      </c>
      <c r="J50" s="7"/>
    </row>
    <row r="51" customFormat="false" ht="15" hidden="false" customHeight="false" outlineLevel="0" collapsed="false">
      <c r="A51" s="7" t="s">
        <v>1199</v>
      </c>
      <c r="B51" s="7" t="s">
        <v>1229</v>
      </c>
      <c r="C51" s="7" t="s">
        <v>1230</v>
      </c>
      <c r="D51" s="7" t="s">
        <v>1231</v>
      </c>
      <c r="E51" s="7" t="s">
        <v>85</v>
      </c>
      <c r="F51" s="7" t="s">
        <v>41</v>
      </c>
      <c r="G51" s="7" t="n">
        <v>8</v>
      </c>
      <c r="H51" s="7" t="s">
        <v>1191</v>
      </c>
      <c r="I51" s="7" t="s">
        <v>60</v>
      </c>
      <c r="J51" s="7"/>
    </row>
    <row r="52" customFormat="false" ht="15" hidden="false" customHeight="false" outlineLevel="0" collapsed="false">
      <c r="A52" s="6" t="s">
        <v>1232</v>
      </c>
      <c r="B52" s="6"/>
      <c r="C52" s="6"/>
      <c r="D52" s="6"/>
      <c r="E52" s="6"/>
      <c r="F52" s="6"/>
      <c r="G52" s="6"/>
      <c r="H52" s="6"/>
      <c r="I52" s="6"/>
      <c r="J52" s="6"/>
    </row>
    <row r="53" customFormat="false" ht="15" hidden="false" customHeight="false" outlineLevel="0" collapsed="false">
      <c r="A53" s="7" t="s">
        <v>1233</v>
      </c>
      <c r="B53" s="7" t="s">
        <v>1234</v>
      </c>
      <c r="C53" s="7" t="s">
        <v>1235</v>
      </c>
      <c r="D53" s="7" t="s">
        <v>1236</v>
      </c>
      <c r="E53" s="7" t="s">
        <v>59</v>
      </c>
      <c r="F53" s="7" t="s">
        <v>41</v>
      </c>
      <c r="G53" s="7" t="n">
        <v>10</v>
      </c>
      <c r="H53" s="7" t="s">
        <v>111</v>
      </c>
      <c r="I53" s="7" t="s">
        <v>60</v>
      </c>
      <c r="J53" s="7" t="s">
        <v>1237</v>
      </c>
    </row>
    <row r="54" customFormat="false" ht="15" hidden="false" customHeight="false" outlineLevel="0" collapsed="false">
      <c r="A54" s="7" t="s">
        <v>1233</v>
      </c>
      <c r="B54" s="7" t="s">
        <v>1238</v>
      </c>
      <c r="C54" s="7" t="s">
        <v>1239</v>
      </c>
      <c r="D54" s="7" t="s">
        <v>1240</v>
      </c>
      <c r="E54" s="7" t="s">
        <v>74</v>
      </c>
      <c r="F54" s="7" t="s">
        <v>38</v>
      </c>
      <c r="G54" s="7" t="n">
        <v>8</v>
      </c>
      <c r="H54" s="7" t="s">
        <v>1241</v>
      </c>
      <c r="I54" s="7" t="s">
        <v>60</v>
      </c>
      <c r="J54" s="7"/>
    </row>
    <row r="55" customFormat="false" ht="15" hidden="false" customHeight="false" outlineLevel="0" collapsed="false">
      <c r="A55" s="7" t="s">
        <v>1233</v>
      </c>
      <c r="B55" s="7" t="s">
        <v>1242</v>
      </c>
      <c r="C55" s="7" t="s">
        <v>1243</v>
      </c>
      <c r="D55" s="7" t="s">
        <v>1244</v>
      </c>
      <c r="E55" s="7" t="s">
        <v>74</v>
      </c>
      <c r="F55" s="7" t="s">
        <v>38</v>
      </c>
      <c r="G55" s="7" t="n">
        <v>8</v>
      </c>
      <c r="H55" s="7" t="s">
        <v>1245</v>
      </c>
      <c r="I55" s="7" t="s">
        <v>60</v>
      </c>
      <c r="J55" s="7"/>
    </row>
    <row r="56" customFormat="false" ht="15" hidden="false" customHeight="false" outlineLevel="0" collapsed="false">
      <c r="A56" s="7" t="s">
        <v>1233</v>
      </c>
      <c r="B56" s="7" t="s">
        <v>1246</v>
      </c>
      <c r="C56" s="7" t="s">
        <v>1247</v>
      </c>
      <c r="D56" s="7" t="s">
        <v>1248</v>
      </c>
      <c r="E56" s="7" t="s">
        <v>74</v>
      </c>
      <c r="F56" s="7" t="s">
        <v>41</v>
      </c>
      <c r="G56" s="7" t="n">
        <v>6</v>
      </c>
      <c r="H56" s="7" t="s">
        <v>1249</v>
      </c>
      <c r="I56" s="7" t="s">
        <v>60</v>
      </c>
      <c r="J56" s="7"/>
    </row>
    <row r="57" customFormat="false" ht="15" hidden="false" customHeight="false" outlineLevel="0" collapsed="false">
      <c r="A57" s="7" t="s">
        <v>1233</v>
      </c>
      <c r="B57" s="7" t="s">
        <v>1250</v>
      </c>
      <c r="C57" s="7" t="s">
        <v>1251</v>
      </c>
      <c r="D57" s="7" t="s">
        <v>1252</v>
      </c>
      <c r="E57" s="7" t="s">
        <v>74</v>
      </c>
      <c r="F57" s="7" t="s">
        <v>38</v>
      </c>
      <c r="G57" s="7" t="n">
        <v>8</v>
      </c>
      <c r="H57" s="7" t="s">
        <v>1253</v>
      </c>
      <c r="I57" s="7" t="s">
        <v>60</v>
      </c>
      <c r="J57" s="7"/>
    </row>
    <row r="58" customFormat="false" ht="15" hidden="false" customHeight="false" outlineLevel="0" collapsed="false">
      <c r="A58" s="7" t="s">
        <v>1233</v>
      </c>
      <c r="B58" s="7" t="s">
        <v>1254</v>
      </c>
      <c r="C58" s="7" t="s">
        <v>1255</v>
      </c>
      <c r="D58" s="7" t="s">
        <v>1256</v>
      </c>
      <c r="E58" s="7" t="s">
        <v>59</v>
      </c>
      <c r="F58" s="7" t="s">
        <v>38</v>
      </c>
      <c r="G58" s="7" t="n">
        <v>10</v>
      </c>
      <c r="H58" s="7" t="s">
        <v>1234</v>
      </c>
      <c r="I58" s="7" t="s">
        <v>60</v>
      </c>
      <c r="J58" s="7" t="s">
        <v>1257</v>
      </c>
    </row>
    <row r="59" customFormat="false" ht="15" hidden="false" customHeight="false" outlineLevel="0" collapsed="false">
      <c r="A59" s="6" t="s">
        <v>1258</v>
      </c>
      <c r="B59" s="6"/>
      <c r="C59" s="6"/>
      <c r="D59" s="6"/>
      <c r="E59" s="6"/>
      <c r="F59" s="6"/>
      <c r="G59" s="6"/>
      <c r="H59" s="6"/>
      <c r="I59" s="6"/>
      <c r="J59" s="6"/>
    </row>
    <row r="60" customFormat="false" ht="23.85" hidden="false" customHeight="false" outlineLevel="0" collapsed="false">
      <c r="A60" s="7" t="s">
        <v>1259</v>
      </c>
      <c r="B60" s="7" t="s">
        <v>1260</v>
      </c>
      <c r="C60" s="7" t="s">
        <v>1261</v>
      </c>
      <c r="D60" s="7" t="s">
        <v>1262</v>
      </c>
      <c r="E60" s="7" t="s">
        <v>1185</v>
      </c>
      <c r="F60" s="7" t="s">
        <v>41</v>
      </c>
      <c r="G60" s="7" t="n">
        <v>12</v>
      </c>
      <c r="H60" s="7" t="s">
        <v>1182</v>
      </c>
      <c r="I60" s="7" t="s">
        <v>60</v>
      </c>
      <c r="J60" s="7"/>
    </row>
    <row r="61" customFormat="false" ht="15" hidden="false" customHeight="false" outlineLevel="0" collapsed="false">
      <c r="A61" s="7" t="s">
        <v>1259</v>
      </c>
      <c r="B61" s="7" t="s">
        <v>1263</v>
      </c>
      <c r="C61" s="7" t="s">
        <v>1264</v>
      </c>
      <c r="D61" s="7" t="s">
        <v>1265</v>
      </c>
      <c r="E61" s="7" t="s">
        <v>59</v>
      </c>
      <c r="F61" s="7" t="s">
        <v>38</v>
      </c>
      <c r="G61" s="7" t="n">
        <v>10</v>
      </c>
      <c r="H61" s="7" t="s">
        <v>1234</v>
      </c>
      <c r="I61" s="7" t="s">
        <v>60</v>
      </c>
      <c r="J61" s="7" t="s">
        <v>1266</v>
      </c>
    </row>
    <row r="62" customFormat="false" ht="15" hidden="false" customHeight="false" outlineLevel="0" collapsed="false">
      <c r="A62" s="7" t="s">
        <v>1259</v>
      </c>
      <c r="B62" s="7" t="s">
        <v>1267</v>
      </c>
      <c r="C62" s="7" t="s">
        <v>1268</v>
      </c>
      <c r="D62" s="7" t="s">
        <v>1269</v>
      </c>
      <c r="E62" s="7" t="s">
        <v>373</v>
      </c>
      <c r="F62" s="7" t="s">
        <v>41</v>
      </c>
      <c r="G62" s="7" t="n">
        <v>10</v>
      </c>
      <c r="H62" s="7" t="s">
        <v>1242</v>
      </c>
      <c r="I62" s="7" t="s">
        <v>60</v>
      </c>
      <c r="J6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23.85" hidden="false" customHeight="false" outlineLevel="0" collapsed="false">
      <c r="A2" s="6" t="s">
        <v>1270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15" hidden="false" customHeight="false" outlineLevel="0" collapsed="false">
      <c r="A3" s="7" t="s">
        <v>1271</v>
      </c>
      <c r="B3" s="7" t="s">
        <v>1272</v>
      </c>
      <c r="C3" s="7" t="s">
        <v>1273</v>
      </c>
      <c r="D3" s="7" t="s">
        <v>1274</v>
      </c>
      <c r="E3" s="7" t="s">
        <v>74</v>
      </c>
      <c r="F3" s="7" t="s">
        <v>35</v>
      </c>
      <c r="G3" s="7" t="n">
        <v>6</v>
      </c>
      <c r="H3" s="7" t="s">
        <v>252</v>
      </c>
      <c r="I3" s="7" t="s">
        <v>60</v>
      </c>
      <c r="J3" s="7" t="s">
        <v>1275</v>
      </c>
    </row>
    <row r="4" customFormat="false" ht="15" hidden="false" customHeight="false" outlineLevel="0" collapsed="false">
      <c r="A4" s="7" t="s">
        <v>1271</v>
      </c>
      <c r="B4" s="7" t="s">
        <v>1276</v>
      </c>
      <c r="C4" s="7" t="s">
        <v>1277</v>
      </c>
      <c r="D4" s="7" t="s">
        <v>1278</v>
      </c>
      <c r="E4" s="7" t="s">
        <v>74</v>
      </c>
      <c r="F4" s="7" t="s">
        <v>35</v>
      </c>
      <c r="G4" s="7" t="n">
        <v>10</v>
      </c>
      <c r="H4" s="7" t="s">
        <v>213</v>
      </c>
      <c r="I4" s="7" t="s">
        <v>60</v>
      </c>
      <c r="J4" s="7" t="s">
        <v>1279</v>
      </c>
    </row>
    <row r="5" customFormat="false" ht="15" hidden="false" customHeight="false" outlineLevel="0" collapsed="false">
      <c r="A5" s="7" t="s">
        <v>1271</v>
      </c>
      <c r="B5" s="7" t="s">
        <v>1280</v>
      </c>
      <c r="C5" s="7" t="s">
        <v>1281</v>
      </c>
      <c r="D5" s="7" t="s">
        <v>1282</v>
      </c>
      <c r="E5" s="7" t="s">
        <v>74</v>
      </c>
      <c r="F5" s="7" t="s">
        <v>38</v>
      </c>
      <c r="G5" s="7" t="n">
        <v>6</v>
      </c>
      <c r="H5" s="7" t="s">
        <v>213</v>
      </c>
      <c r="I5" s="7" t="s">
        <v>60</v>
      </c>
      <c r="J5" s="7"/>
    </row>
    <row r="6" customFormat="false" ht="15" hidden="false" customHeight="false" outlineLevel="0" collapsed="false">
      <c r="A6" s="7" t="s">
        <v>1271</v>
      </c>
      <c r="B6" s="7" t="s">
        <v>1283</v>
      </c>
      <c r="C6" s="7" t="s">
        <v>1284</v>
      </c>
      <c r="D6" s="7" t="s">
        <v>1285</v>
      </c>
      <c r="E6" s="7" t="s">
        <v>74</v>
      </c>
      <c r="F6" s="7" t="s">
        <v>38</v>
      </c>
      <c r="G6" s="7" t="n">
        <v>4</v>
      </c>
      <c r="H6" s="7" t="s">
        <v>213</v>
      </c>
      <c r="I6" s="7" t="s">
        <v>60</v>
      </c>
      <c r="J6" s="7" t="s">
        <v>1286</v>
      </c>
    </row>
    <row r="7" customFormat="false" ht="15" hidden="false" customHeight="false" outlineLevel="0" collapsed="false">
      <c r="A7" s="7" t="s">
        <v>1271</v>
      </c>
      <c r="B7" s="7" t="s">
        <v>1287</v>
      </c>
      <c r="C7" s="7" t="s">
        <v>1288</v>
      </c>
      <c r="D7" s="7" t="s">
        <v>1289</v>
      </c>
      <c r="E7" s="7" t="s">
        <v>74</v>
      </c>
      <c r="F7" s="7" t="s">
        <v>35</v>
      </c>
      <c r="G7" s="7" t="n">
        <v>12</v>
      </c>
      <c r="H7" s="7" t="s">
        <v>230</v>
      </c>
      <c r="I7" s="7" t="s">
        <v>60</v>
      </c>
      <c r="J7" s="7" t="s">
        <v>1290</v>
      </c>
    </row>
    <row r="8" customFormat="false" ht="15" hidden="false" customHeight="false" outlineLevel="0" collapsed="false">
      <c r="A8" s="7" t="s">
        <v>1271</v>
      </c>
      <c r="B8" s="7" t="s">
        <v>1291</v>
      </c>
      <c r="C8" s="7" t="s">
        <v>1292</v>
      </c>
      <c r="D8" s="7" t="s">
        <v>1293</v>
      </c>
      <c r="E8" s="7" t="s">
        <v>74</v>
      </c>
      <c r="F8" s="7" t="s">
        <v>35</v>
      </c>
      <c r="G8" s="7" t="n">
        <v>8</v>
      </c>
      <c r="H8" s="7" t="s">
        <v>217</v>
      </c>
      <c r="I8" s="7" t="s">
        <v>60</v>
      </c>
      <c r="J8" s="7" t="s">
        <v>1294</v>
      </c>
    </row>
    <row r="9" customFormat="false" ht="15" hidden="false" customHeight="false" outlineLevel="0" collapsed="false">
      <c r="A9" s="7" t="s">
        <v>1271</v>
      </c>
      <c r="B9" s="7" t="s">
        <v>1295</v>
      </c>
      <c r="C9" s="7" t="s">
        <v>1296</v>
      </c>
      <c r="D9" s="7" t="s">
        <v>1297</v>
      </c>
      <c r="E9" s="7" t="s">
        <v>74</v>
      </c>
      <c r="F9" s="7" t="s">
        <v>35</v>
      </c>
      <c r="G9" s="7" t="n">
        <v>8</v>
      </c>
      <c r="H9" s="7" t="s">
        <v>213</v>
      </c>
      <c r="I9" s="7" t="s">
        <v>60</v>
      </c>
      <c r="J9" s="7"/>
    </row>
    <row r="10" customFormat="false" ht="15" hidden="false" customHeight="false" outlineLevel="0" collapsed="false">
      <c r="A10" s="7" t="s">
        <v>1271</v>
      </c>
      <c r="B10" s="7" t="s">
        <v>1298</v>
      </c>
      <c r="C10" s="7" t="s">
        <v>1299</v>
      </c>
      <c r="D10" s="7" t="s">
        <v>1300</v>
      </c>
      <c r="E10" s="7" t="s">
        <v>74</v>
      </c>
      <c r="F10" s="7" t="s">
        <v>38</v>
      </c>
      <c r="G10" s="7" t="n">
        <v>4</v>
      </c>
      <c r="H10" s="7" t="s">
        <v>213</v>
      </c>
      <c r="I10" s="7" t="s">
        <v>60</v>
      </c>
      <c r="J10" s="7" t="s">
        <v>1301</v>
      </c>
    </row>
    <row r="11" customFormat="false" ht="15" hidden="false" customHeight="false" outlineLevel="0" collapsed="false">
      <c r="A11" s="6" t="s">
        <v>1302</v>
      </c>
      <c r="B11" s="6"/>
      <c r="C11" s="6"/>
      <c r="D11" s="6"/>
      <c r="E11" s="6"/>
      <c r="F11" s="6"/>
      <c r="G11" s="6"/>
      <c r="H11" s="6"/>
      <c r="I11" s="6"/>
      <c r="J11" s="6"/>
    </row>
    <row r="12" customFormat="false" ht="15" hidden="false" customHeight="false" outlineLevel="0" collapsed="false">
      <c r="A12" s="7" t="s">
        <v>1303</v>
      </c>
      <c r="B12" s="7" t="s">
        <v>1304</v>
      </c>
      <c r="C12" s="7" t="s">
        <v>1305</v>
      </c>
      <c r="D12" s="7" t="s">
        <v>1306</v>
      </c>
      <c r="E12" s="7" t="s">
        <v>59</v>
      </c>
      <c r="F12" s="7" t="s">
        <v>35</v>
      </c>
      <c r="G12" s="7" t="n">
        <v>10</v>
      </c>
      <c r="H12" s="7" t="s">
        <v>173</v>
      </c>
      <c r="I12" s="7" t="s">
        <v>60</v>
      </c>
      <c r="J12" s="7" t="s">
        <v>1307</v>
      </c>
    </row>
    <row r="13" customFormat="false" ht="15" hidden="false" customHeight="false" outlineLevel="0" collapsed="false">
      <c r="A13" s="7" t="s">
        <v>1303</v>
      </c>
      <c r="B13" s="7" t="s">
        <v>1308</v>
      </c>
      <c r="C13" s="7" t="s">
        <v>1309</v>
      </c>
      <c r="D13" s="7" t="s">
        <v>1310</v>
      </c>
      <c r="E13" s="7" t="s">
        <v>59</v>
      </c>
      <c r="F13" s="7" t="s">
        <v>35</v>
      </c>
      <c r="G13" s="7" t="n">
        <v>8</v>
      </c>
      <c r="H13" s="7" t="s">
        <v>111</v>
      </c>
      <c r="I13" s="7" t="s">
        <v>60</v>
      </c>
      <c r="J13" s="7" t="s">
        <v>1311</v>
      </c>
    </row>
    <row r="14" customFormat="false" ht="15" hidden="false" customHeight="false" outlineLevel="0" collapsed="false">
      <c r="A14" s="7" t="s">
        <v>1303</v>
      </c>
      <c r="B14" s="7" t="s">
        <v>1312</v>
      </c>
      <c r="C14" s="7" t="s">
        <v>1313</v>
      </c>
      <c r="D14" s="7" t="s">
        <v>1314</v>
      </c>
      <c r="E14" s="7" t="s">
        <v>74</v>
      </c>
      <c r="F14" s="7" t="s">
        <v>35</v>
      </c>
      <c r="G14" s="7" t="n">
        <v>8</v>
      </c>
      <c r="H14" s="7" t="s">
        <v>230</v>
      </c>
      <c r="I14" s="7" t="s">
        <v>60</v>
      </c>
      <c r="J14" s="7" t="s">
        <v>1315</v>
      </c>
    </row>
    <row r="15" customFormat="false" ht="15" hidden="false" customHeight="false" outlineLevel="0" collapsed="false">
      <c r="A15" s="7" t="s">
        <v>1303</v>
      </c>
      <c r="B15" s="7" t="s">
        <v>1316</v>
      </c>
      <c r="C15" s="7" t="s">
        <v>1317</v>
      </c>
      <c r="D15" s="7" t="s">
        <v>1318</v>
      </c>
      <c r="E15" s="7" t="s">
        <v>59</v>
      </c>
      <c r="F15" s="7" t="s">
        <v>35</v>
      </c>
      <c r="G15" s="7" t="n">
        <v>10</v>
      </c>
      <c r="H15" s="7" t="s">
        <v>119</v>
      </c>
      <c r="I15" s="7" t="s">
        <v>60</v>
      </c>
      <c r="J15" s="7" t="s">
        <v>1319</v>
      </c>
    </row>
    <row r="16" customFormat="false" ht="15" hidden="false" customHeight="false" outlineLevel="0" collapsed="false">
      <c r="A16" s="7" t="s">
        <v>1303</v>
      </c>
      <c r="B16" s="7" t="s">
        <v>1320</v>
      </c>
      <c r="C16" s="7" t="s">
        <v>1321</v>
      </c>
      <c r="D16" s="7" t="s">
        <v>1322</v>
      </c>
      <c r="E16" s="7" t="s">
        <v>74</v>
      </c>
      <c r="F16" s="7" t="s">
        <v>41</v>
      </c>
      <c r="G16" s="7" t="n">
        <v>8</v>
      </c>
      <c r="H16" s="7" t="s">
        <v>148</v>
      </c>
      <c r="I16" s="7" t="s">
        <v>60</v>
      </c>
      <c r="J16" s="7" t="s">
        <v>1323</v>
      </c>
    </row>
    <row r="17" customFormat="false" ht="15" hidden="false" customHeight="false" outlineLevel="0" collapsed="false">
      <c r="A17" s="7" t="s">
        <v>1303</v>
      </c>
      <c r="B17" s="7" t="s">
        <v>1324</v>
      </c>
      <c r="C17" s="7" t="s">
        <v>1325</v>
      </c>
      <c r="D17" s="7" t="s">
        <v>1326</v>
      </c>
      <c r="E17" s="7" t="s">
        <v>74</v>
      </c>
      <c r="F17" s="7" t="s">
        <v>38</v>
      </c>
      <c r="G17" s="7" t="n">
        <v>12</v>
      </c>
      <c r="H17" s="7" t="s">
        <v>226</v>
      </c>
      <c r="I17" s="7" t="s">
        <v>60</v>
      </c>
      <c r="J17" s="7" t="s">
        <v>1327</v>
      </c>
    </row>
    <row r="18" customFormat="false" ht="15" hidden="false" customHeight="false" outlineLevel="0" collapsed="false">
      <c r="A18" s="7" t="s">
        <v>1303</v>
      </c>
      <c r="B18" s="7" t="s">
        <v>1328</v>
      </c>
      <c r="C18" s="7" t="s">
        <v>1329</v>
      </c>
      <c r="D18" s="7" t="s">
        <v>1330</v>
      </c>
      <c r="E18" s="7" t="s">
        <v>74</v>
      </c>
      <c r="F18" s="7" t="s">
        <v>38</v>
      </c>
      <c r="G18" s="7" t="n">
        <v>10</v>
      </c>
      <c r="H18" s="7" t="s">
        <v>226</v>
      </c>
      <c r="I18" s="7" t="s">
        <v>60</v>
      </c>
      <c r="J18" s="7" t="s">
        <v>1331</v>
      </c>
    </row>
    <row r="19" customFormat="false" ht="23.85" hidden="false" customHeight="false" outlineLevel="0" collapsed="false">
      <c r="A19" s="6" t="s">
        <v>1332</v>
      </c>
      <c r="B19" s="6"/>
      <c r="C19" s="6"/>
      <c r="D19" s="6"/>
      <c r="E19" s="6"/>
      <c r="F19" s="6"/>
      <c r="G19" s="6"/>
      <c r="H19" s="6"/>
      <c r="I19" s="6"/>
      <c r="J19" s="6"/>
    </row>
    <row r="20" customFormat="false" ht="15" hidden="false" customHeight="false" outlineLevel="0" collapsed="false">
      <c r="A20" s="7" t="s">
        <v>1333</v>
      </c>
      <c r="B20" s="7" t="s">
        <v>1334</v>
      </c>
      <c r="C20" s="7" t="s">
        <v>1335</v>
      </c>
      <c r="D20" s="7" t="s">
        <v>1336</v>
      </c>
      <c r="E20" s="7" t="s">
        <v>74</v>
      </c>
      <c r="F20" s="7" t="s">
        <v>38</v>
      </c>
      <c r="G20" s="7" t="n">
        <v>6</v>
      </c>
      <c r="H20" s="7" t="s">
        <v>268</v>
      </c>
      <c r="I20" s="7" t="s">
        <v>60</v>
      </c>
      <c r="J20" s="7" t="s">
        <v>1337</v>
      </c>
    </row>
    <row r="21" customFormat="false" ht="15" hidden="false" customHeight="false" outlineLevel="0" collapsed="false">
      <c r="A21" s="7" t="s">
        <v>1333</v>
      </c>
      <c r="B21" s="7" t="s">
        <v>1338</v>
      </c>
      <c r="C21" s="7" t="s">
        <v>1339</v>
      </c>
      <c r="D21" s="7" t="s">
        <v>1340</v>
      </c>
      <c r="E21" s="7" t="s">
        <v>74</v>
      </c>
      <c r="F21" s="7" t="s">
        <v>41</v>
      </c>
      <c r="G21" s="7" t="n">
        <v>20</v>
      </c>
      <c r="H21" s="7" t="s">
        <v>257</v>
      </c>
      <c r="I21" s="7" t="s">
        <v>60</v>
      </c>
      <c r="J21" s="7" t="s">
        <v>642</v>
      </c>
    </row>
    <row r="22" customFormat="false" ht="15" hidden="false" customHeight="false" outlineLevel="0" collapsed="false">
      <c r="A22" s="7" t="s">
        <v>1333</v>
      </c>
      <c r="B22" s="7" t="s">
        <v>1341</v>
      </c>
      <c r="C22" s="7" t="s">
        <v>1342</v>
      </c>
      <c r="D22" s="7" t="s">
        <v>1343</v>
      </c>
      <c r="E22" s="7" t="s">
        <v>74</v>
      </c>
      <c r="F22" s="7" t="s">
        <v>38</v>
      </c>
      <c r="G22" s="7" t="n">
        <v>6</v>
      </c>
      <c r="H22" s="7" t="s">
        <v>1344</v>
      </c>
      <c r="I22" s="7" t="s">
        <v>60</v>
      </c>
      <c r="J22" s="7" t="s">
        <v>1345</v>
      </c>
    </row>
    <row r="23" customFormat="false" ht="15" hidden="false" customHeight="false" outlineLevel="0" collapsed="false">
      <c r="A23" s="7" t="s">
        <v>1333</v>
      </c>
      <c r="B23" s="7" t="s">
        <v>1346</v>
      </c>
      <c r="C23" s="7" t="s">
        <v>1347</v>
      </c>
      <c r="D23" s="7" t="s">
        <v>1348</v>
      </c>
      <c r="E23" s="7" t="s">
        <v>74</v>
      </c>
      <c r="F23" s="7" t="s">
        <v>38</v>
      </c>
      <c r="G23" s="7" t="n">
        <v>8</v>
      </c>
      <c r="H23" s="7" t="s">
        <v>257</v>
      </c>
      <c r="I23" s="7" t="s">
        <v>60</v>
      </c>
      <c r="J23" s="7" t="s">
        <v>1349</v>
      </c>
    </row>
    <row r="24" customFormat="false" ht="15" hidden="false" customHeight="false" outlineLevel="0" collapsed="false">
      <c r="A24" s="7" t="s">
        <v>1333</v>
      </c>
      <c r="B24" s="7" t="s">
        <v>1350</v>
      </c>
      <c r="C24" s="7" t="s">
        <v>1351</v>
      </c>
      <c r="D24" s="7" t="s">
        <v>1352</v>
      </c>
      <c r="E24" s="7" t="s">
        <v>74</v>
      </c>
      <c r="F24" s="7" t="s">
        <v>38</v>
      </c>
      <c r="G24" s="7" t="n">
        <v>8</v>
      </c>
      <c r="H24" s="7" t="s">
        <v>264</v>
      </c>
      <c r="I24" s="7" t="s">
        <v>60</v>
      </c>
      <c r="J24" s="7"/>
    </row>
    <row r="25" customFormat="false" ht="15" hidden="false" customHeight="false" outlineLevel="0" collapsed="false">
      <c r="A25" s="6" t="s">
        <v>1353</v>
      </c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" hidden="false" customHeight="false" outlineLevel="0" collapsed="false">
      <c r="A26" s="7" t="s">
        <v>1354</v>
      </c>
      <c r="B26" s="7" t="s">
        <v>1355</v>
      </c>
      <c r="C26" s="7" t="s">
        <v>1356</v>
      </c>
      <c r="D26" s="7" t="s">
        <v>1357</v>
      </c>
      <c r="E26" s="7" t="s">
        <v>1358</v>
      </c>
      <c r="F26" s="7" t="s">
        <v>38</v>
      </c>
      <c r="G26" s="7" t="n">
        <v>12</v>
      </c>
      <c r="H26" s="7"/>
      <c r="I26" s="7" t="s">
        <v>60</v>
      </c>
      <c r="J26" s="7" t="s">
        <v>1359</v>
      </c>
    </row>
    <row r="27" customFormat="false" ht="15" hidden="false" customHeight="false" outlineLevel="0" collapsed="false">
      <c r="A27" s="7" t="s">
        <v>1354</v>
      </c>
      <c r="B27" s="7" t="s">
        <v>1360</v>
      </c>
      <c r="C27" s="7" t="s">
        <v>1361</v>
      </c>
      <c r="D27" s="7" t="s">
        <v>1362</v>
      </c>
      <c r="E27" s="7" t="s">
        <v>1358</v>
      </c>
      <c r="F27" s="7" t="s">
        <v>38</v>
      </c>
      <c r="G27" s="7" t="n">
        <v>12</v>
      </c>
      <c r="H27" s="7"/>
      <c r="I27" s="7" t="s">
        <v>60</v>
      </c>
      <c r="J27" s="7"/>
    </row>
    <row r="28" customFormat="false" ht="15" hidden="false" customHeight="false" outlineLevel="0" collapsed="false">
      <c r="A28" s="7" t="s">
        <v>1354</v>
      </c>
      <c r="B28" s="7" t="s">
        <v>1363</v>
      </c>
      <c r="C28" s="7" t="s">
        <v>1364</v>
      </c>
      <c r="D28" s="7" t="s">
        <v>1365</v>
      </c>
      <c r="E28" s="7" t="s">
        <v>85</v>
      </c>
      <c r="F28" s="7" t="s">
        <v>38</v>
      </c>
      <c r="G28" s="7" t="n">
        <v>8</v>
      </c>
      <c r="H28" s="7" t="s">
        <v>810</v>
      </c>
      <c r="I28" s="7" t="s">
        <v>60</v>
      </c>
      <c r="J28" s="7" t="s">
        <v>1366</v>
      </c>
    </row>
    <row r="29" customFormat="false" ht="15" hidden="false" customHeight="false" outlineLevel="0" collapsed="false">
      <c r="A29" s="7" t="s">
        <v>1354</v>
      </c>
      <c r="B29" s="7" t="s">
        <v>1367</v>
      </c>
      <c r="C29" s="7" t="s">
        <v>1368</v>
      </c>
      <c r="D29" s="7" t="s">
        <v>1369</v>
      </c>
      <c r="E29" s="7" t="s">
        <v>1358</v>
      </c>
      <c r="F29" s="7" t="s">
        <v>41</v>
      </c>
      <c r="G29" s="7" t="n">
        <v>8</v>
      </c>
      <c r="H29" s="7"/>
      <c r="I29" s="7" t="s">
        <v>60</v>
      </c>
      <c r="J29" s="7" t="s">
        <v>1370</v>
      </c>
    </row>
    <row r="30" customFormat="false" ht="15" hidden="false" customHeight="false" outlineLevel="0" collapsed="false">
      <c r="A30" s="7" t="s">
        <v>1354</v>
      </c>
      <c r="B30" s="7" t="s">
        <v>1371</v>
      </c>
      <c r="C30" s="7" t="s">
        <v>1372</v>
      </c>
      <c r="D30" s="7" t="s">
        <v>1373</v>
      </c>
      <c r="E30" s="7" t="s">
        <v>74</v>
      </c>
      <c r="F30" s="7" t="s">
        <v>41</v>
      </c>
      <c r="G30" s="7" t="n">
        <v>12</v>
      </c>
      <c r="H30" s="7" t="s">
        <v>213</v>
      </c>
      <c r="I30" s="7" t="s">
        <v>60</v>
      </c>
      <c r="J30" s="7" t="s">
        <v>1374</v>
      </c>
    </row>
    <row r="31" customFormat="false" ht="15" hidden="false" customHeight="false" outlineLevel="0" collapsed="false">
      <c r="A31" s="6" t="s">
        <v>1375</v>
      </c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7" t="s">
        <v>1376</v>
      </c>
      <c r="B32" s="7" t="s">
        <v>1377</v>
      </c>
      <c r="C32" s="7" t="s">
        <v>1378</v>
      </c>
      <c r="D32" s="7" t="s">
        <v>1379</v>
      </c>
      <c r="E32" s="7" t="s">
        <v>74</v>
      </c>
      <c r="F32" s="7" t="s">
        <v>38</v>
      </c>
      <c r="G32" s="7" t="n">
        <v>6</v>
      </c>
      <c r="H32" s="7" t="s">
        <v>213</v>
      </c>
      <c r="I32" s="7" t="s">
        <v>60</v>
      </c>
      <c r="J32" s="7" t="s">
        <v>1380</v>
      </c>
    </row>
    <row r="33" customFormat="false" ht="15" hidden="false" customHeight="false" outlineLevel="0" collapsed="false">
      <c r="A33" s="7" t="s">
        <v>1376</v>
      </c>
      <c r="B33" s="7" t="s">
        <v>1381</v>
      </c>
      <c r="C33" s="7" t="s">
        <v>1382</v>
      </c>
      <c r="D33" s="7" t="s">
        <v>1383</v>
      </c>
      <c r="E33" s="7" t="s">
        <v>74</v>
      </c>
      <c r="F33" s="7" t="s">
        <v>38</v>
      </c>
      <c r="G33" s="7" t="n">
        <v>8</v>
      </c>
      <c r="H33" s="7" t="s">
        <v>1384</v>
      </c>
      <c r="I33" s="7" t="s">
        <v>60</v>
      </c>
      <c r="J33" s="7"/>
    </row>
    <row r="34" customFormat="false" ht="15" hidden="false" customHeight="false" outlineLevel="0" collapsed="false">
      <c r="A34" s="7" t="s">
        <v>1376</v>
      </c>
      <c r="B34" s="7" t="s">
        <v>1385</v>
      </c>
      <c r="C34" s="7" t="s">
        <v>1386</v>
      </c>
      <c r="D34" s="7" t="s">
        <v>1387</v>
      </c>
      <c r="E34" s="7" t="s">
        <v>74</v>
      </c>
      <c r="F34" s="7" t="s">
        <v>38</v>
      </c>
      <c r="G34" s="7" t="n">
        <v>8</v>
      </c>
      <c r="H34" s="7" t="s">
        <v>1388</v>
      </c>
      <c r="I34" s="7" t="s">
        <v>60</v>
      </c>
      <c r="J34" s="7"/>
    </row>
    <row r="35" customFormat="false" ht="15" hidden="false" customHeight="false" outlineLevel="0" collapsed="false">
      <c r="A35" s="7" t="s">
        <v>1376</v>
      </c>
      <c r="B35" s="7" t="s">
        <v>1389</v>
      </c>
      <c r="C35" s="7" t="s">
        <v>1390</v>
      </c>
      <c r="D35" s="7" t="s">
        <v>1391</v>
      </c>
      <c r="E35" s="7" t="s">
        <v>74</v>
      </c>
      <c r="F35" s="7" t="s">
        <v>38</v>
      </c>
      <c r="G35" s="7" t="n">
        <v>8</v>
      </c>
      <c r="H35" s="7" t="s">
        <v>1392</v>
      </c>
      <c r="I35" s="7" t="s">
        <v>60</v>
      </c>
      <c r="J35" s="7"/>
    </row>
    <row r="36" customFormat="false" ht="15" hidden="false" customHeight="false" outlineLevel="0" collapsed="false">
      <c r="A36" s="7" t="s">
        <v>1376</v>
      </c>
      <c r="B36" s="7" t="s">
        <v>1393</v>
      </c>
      <c r="C36" s="7" t="s">
        <v>1394</v>
      </c>
      <c r="D36" s="7" t="s">
        <v>1395</v>
      </c>
      <c r="E36" s="7" t="s">
        <v>74</v>
      </c>
      <c r="F36" s="7" t="s">
        <v>38</v>
      </c>
      <c r="G36" s="7" t="n">
        <v>6</v>
      </c>
      <c r="H36" s="7" t="s">
        <v>1396</v>
      </c>
      <c r="I36" s="7" t="s">
        <v>60</v>
      </c>
      <c r="J36" s="7"/>
    </row>
    <row r="37" customFormat="false" ht="15" hidden="false" customHeight="false" outlineLevel="0" collapsed="false">
      <c r="A37" s="7" t="s">
        <v>1376</v>
      </c>
      <c r="B37" s="7" t="s">
        <v>1397</v>
      </c>
      <c r="C37" s="7" t="s">
        <v>1398</v>
      </c>
      <c r="D37" s="7" t="s">
        <v>1399</v>
      </c>
      <c r="E37" s="7" t="s">
        <v>74</v>
      </c>
      <c r="F37" s="7" t="s">
        <v>38</v>
      </c>
      <c r="G37" s="7" t="n">
        <v>10</v>
      </c>
      <c r="H37" s="7" t="s">
        <v>1377</v>
      </c>
      <c r="I37" s="7" t="s">
        <v>60</v>
      </c>
      <c r="J37" s="7"/>
    </row>
    <row r="38" customFormat="false" ht="15" hidden="false" customHeight="false" outlineLevel="0" collapsed="false">
      <c r="A38" s="7" t="s">
        <v>1376</v>
      </c>
      <c r="B38" s="7" t="s">
        <v>1400</v>
      </c>
      <c r="C38" s="7" t="s">
        <v>1401</v>
      </c>
      <c r="D38" s="7" t="s">
        <v>1402</v>
      </c>
      <c r="E38" s="7" t="s">
        <v>74</v>
      </c>
      <c r="F38" s="7" t="s">
        <v>38</v>
      </c>
      <c r="G38" s="7" t="n">
        <v>6</v>
      </c>
      <c r="H38" s="7" t="s">
        <v>1377</v>
      </c>
      <c r="I38" s="7" t="s">
        <v>60</v>
      </c>
      <c r="J38" s="7"/>
    </row>
    <row r="39" customFormat="false" ht="15" hidden="false" customHeight="false" outlineLevel="0" collapsed="false">
      <c r="A39" s="7" t="s">
        <v>1376</v>
      </c>
      <c r="B39" s="7" t="s">
        <v>1403</v>
      </c>
      <c r="C39" s="7" t="s">
        <v>1404</v>
      </c>
      <c r="D39" s="7" t="s">
        <v>1405</v>
      </c>
      <c r="E39" s="7" t="s">
        <v>74</v>
      </c>
      <c r="F39" s="7" t="s">
        <v>41</v>
      </c>
      <c r="G39" s="7" t="n">
        <v>8</v>
      </c>
      <c r="H39" s="7" t="s">
        <v>1406</v>
      </c>
      <c r="I39" s="7" t="s">
        <v>60</v>
      </c>
      <c r="J39" s="7"/>
    </row>
    <row r="40" customFormat="false" ht="23.85" hidden="false" customHeight="false" outlineLevel="0" collapsed="false">
      <c r="A40" s="6" t="s">
        <v>1407</v>
      </c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7" t="s">
        <v>1408</v>
      </c>
      <c r="B41" s="7" t="s">
        <v>1409</v>
      </c>
      <c r="C41" s="7" t="s">
        <v>1410</v>
      </c>
      <c r="D41" s="7" t="s">
        <v>1411</v>
      </c>
      <c r="E41" s="7" t="s">
        <v>69</v>
      </c>
      <c r="F41" s="7" t="s">
        <v>38</v>
      </c>
      <c r="G41" s="7" t="n">
        <v>16</v>
      </c>
      <c r="H41" s="7"/>
      <c r="I41" s="7" t="s">
        <v>60</v>
      </c>
      <c r="J41" s="7" t="s">
        <v>1412</v>
      </c>
    </row>
    <row r="42" customFormat="false" ht="15" hidden="false" customHeight="false" outlineLevel="0" collapsed="false">
      <c r="A42" s="7" t="s">
        <v>1408</v>
      </c>
      <c r="B42" s="7" t="s">
        <v>1413</v>
      </c>
      <c r="C42" s="7" t="s">
        <v>1414</v>
      </c>
      <c r="D42" s="7" t="s">
        <v>1415</v>
      </c>
      <c r="E42" s="7" t="s">
        <v>74</v>
      </c>
      <c r="F42" s="7" t="s">
        <v>38</v>
      </c>
      <c r="G42" s="7" t="n">
        <v>8</v>
      </c>
      <c r="H42" s="7" t="s">
        <v>148</v>
      </c>
      <c r="I42" s="7" t="s">
        <v>60</v>
      </c>
      <c r="J42" s="7"/>
    </row>
    <row r="43" customFormat="false" ht="15" hidden="false" customHeight="false" outlineLevel="0" collapsed="false">
      <c r="A43" s="7" t="s">
        <v>1408</v>
      </c>
      <c r="B43" s="7" t="s">
        <v>1416</v>
      </c>
      <c r="C43" s="7" t="s">
        <v>1417</v>
      </c>
      <c r="D43" s="7" t="s">
        <v>1418</v>
      </c>
      <c r="E43" s="7" t="s">
        <v>59</v>
      </c>
      <c r="F43" s="7" t="s">
        <v>38</v>
      </c>
      <c r="G43" s="7" t="n">
        <v>12</v>
      </c>
      <c r="H43" s="7" t="s">
        <v>115</v>
      </c>
      <c r="I43" s="7" t="s">
        <v>60</v>
      </c>
      <c r="J43" s="7"/>
    </row>
    <row r="44" customFormat="false" ht="15" hidden="false" customHeight="false" outlineLevel="0" collapsed="false">
      <c r="A44" s="7" t="s">
        <v>1408</v>
      </c>
      <c r="B44" s="7" t="s">
        <v>1419</v>
      </c>
      <c r="C44" s="7" t="s">
        <v>1420</v>
      </c>
      <c r="D44" s="7" t="s">
        <v>1421</v>
      </c>
      <c r="E44" s="7" t="s">
        <v>69</v>
      </c>
      <c r="F44" s="7" t="s">
        <v>38</v>
      </c>
      <c r="G44" s="7" t="n">
        <v>10</v>
      </c>
      <c r="H44" s="7" t="s">
        <v>76</v>
      </c>
      <c r="I44" s="7" t="s">
        <v>60</v>
      </c>
      <c r="J44" s="7"/>
    </row>
    <row r="45" customFormat="false" ht="15" hidden="false" customHeight="false" outlineLevel="0" collapsed="false">
      <c r="A45" s="7" t="s">
        <v>1408</v>
      </c>
      <c r="B45" s="7" t="s">
        <v>1422</v>
      </c>
      <c r="C45" s="7" t="s">
        <v>1423</v>
      </c>
      <c r="D45" s="7" t="s">
        <v>1424</v>
      </c>
      <c r="E45" s="7" t="s">
        <v>373</v>
      </c>
      <c r="F45" s="7" t="s">
        <v>41</v>
      </c>
      <c r="G45" s="7" t="n">
        <v>8</v>
      </c>
      <c r="H45" s="7" t="s">
        <v>370</v>
      </c>
      <c r="I45" s="7" t="s">
        <v>60</v>
      </c>
      <c r="J45" s="7"/>
    </row>
    <row r="46" customFormat="false" ht="15" hidden="false" customHeight="false" outlineLevel="0" collapsed="false">
      <c r="A46" s="7" t="s">
        <v>1408</v>
      </c>
      <c r="B46" s="7" t="s">
        <v>1425</v>
      </c>
      <c r="C46" s="7" t="s">
        <v>1426</v>
      </c>
      <c r="D46" s="7" t="s">
        <v>1427</v>
      </c>
      <c r="E46" s="7" t="s">
        <v>74</v>
      </c>
      <c r="F46" s="7" t="s">
        <v>41</v>
      </c>
      <c r="G46" s="7" t="n">
        <v>10</v>
      </c>
      <c r="H46" s="7" t="s">
        <v>594</v>
      </c>
      <c r="I46" s="7" t="s">
        <v>60</v>
      </c>
      <c r="J46" s="7"/>
    </row>
    <row r="47" customFormat="false" ht="15" hidden="false" customHeight="false" outlineLevel="0" collapsed="false">
      <c r="A47" s="7" t="s">
        <v>1408</v>
      </c>
      <c r="B47" s="7" t="s">
        <v>1428</v>
      </c>
      <c r="C47" s="7" t="s">
        <v>1429</v>
      </c>
      <c r="D47" s="7" t="s">
        <v>1430</v>
      </c>
      <c r="E47" s="7" t="s">
        <v>69</v>
      </c>
      <c r="F47" s="7" t="s">
        <v>41</v>
      </c>
      <c r="G47" s="7" t="n">
        <v>12</v>
      </c>
      <c r="H47" s="7"/>
      <c r="I47" s="7" t="s">
        <v>60</v>
      </c>
      <c r="J47" s="7"/>
    </row>
    <row r="48" customFormat="false" ht="23.85" hidden="false" customHeight="false" outlineLevel="0" collapsed="false">
      <c r="A48" s="6" t="s">
        <v>1431</v>
      </c>
      <c r="B48" s="6"/>
      <c r="C48" s="6"/>
      <c r="D48" s="6"/>
      <c r="E48" s="6"/>
      <c r="F48" s="6"/>
      <c r="G48" s="6"/>
      <c r="H48" s="6"/>
      <c r="I48" s="6"/>
      <c r="J48" s="6"/>
    </row>
    <row r="49" customFormat="false" ht="23.85" hidden="false" customHeight="false" outlineLevel="0" collapsed="false">
      <c r="A49" s="7" t="s">
        <v>1432</v>
      </c>
      <c r="B49" s="7" t="s">
        <v>1433</v>
      </c>
      <c r="C49" s="7" t="s">
        <v>1434</v>
      </c>
      <c r="D49" s="7" t="s">
        <v>1435</v>
      </c>
      <c r="E49" s="7" t="s">
        <v>1185</v>
      </c>
      <c r="F49" s="7" t="s">
        <v>38</v>
      </c>
      <c r="G49" s="7" t="n">
        <v>12</v>
      </c>
      <c r="H49" s="7"/>
      <c r="I49" s="7" t="s">
        <v>60</v>
      </c>
      <c r="J49" s="7"/>
    </row>
    <row r="50" customFormat="false" ht="23.85" hidden="false" customHeight="false" outlineLevel="0" collapsed="false">
      <c r="A50" s="7" t="s">
        <v>1432</v>
      </c>
      <c r="B50" s="7" t="s">
        <v>1436</v>
      </c>
      <c r="C50" s="7" t="s">
        <v>1437</v>
      </c>
      <c r="D50" s="7" t="s">
        <v>1438</v>
      </c>
      <c r="E50" s="7" t="s">
        <v>1185</v>
      </c>
      <c r="F50" s="7" t="s">
        <v>41</v>
      </c>
      <c r="G50" s="7" t="n">
        <v>20</v>
      </c>
      <c r="H50" s="7"/>
      <c r="I50" s="7" t="s">
        <v>60</v>
      </c>
      <c r="J50" s="7" t="s">
        <v>1439</v>
      </c>
    </row>
    <row r="51" customFormat="false" ht="23.85" hidden="false" customHeight="false" outlineLevel="0" collapsed="false">
      <c r="A51" s="7" t="s">
        <v>1432</v>
      </c>
      <c r="B51" s="7" t="s">
        <v>1440</v>
      </c>
      <c r="C51" s="7" t="s">
        <v>1441</v>
      </c>
      <c r="D51" s="7" t="s">
        <v>1442</v>
      </c>
      <c r="E51" s="7" t="s">
        <v>1185</v>
      </c>
      <c r="F51" s="7" t="s">
        <v>41</v>
      </c>
      <c r="G51" s="7" t="n">
        <v>8</v>
      </c>
      <c r="H51" s="7"/>
      <c r="I51" s="7" t="s">
        <v>60</v>
      </c>
      <c r="J51" s="7"/>
    </row>
    <row r="52" customFormat="false" ht="23.85" hidden="false" customHeight="false" outlineLevel="0" collapsed="false">
      <c r="A52" s="7" t="s">
        <v>1432</v>
      </c>
      <c r="B52" s="7" t="s">
        <v>1443</v>
      </c>
      <c r="C52" s="7" t="s">
        <v>1444</v>
      </c>
      <c r="D52" s="7" t="s">
        <v>1445</v>
      </c>
      <c r="E52" s="7" t="s">
        <v>1185</v>
      </c>
      <c r="F52" s="7" t="s">
        <v>38</v>
      </c>
      <c r="G52" s="7" t="n">
        <v>10</v>
      </c>
      <c r="H52" s="7" t="s">
        <v>1446</v>
      </c>
      <c r="I52" s="7" t="s">
        <v>60</v>
      </c>
      <c r="J52" s="7"/>
    </row>
    <row r="53" customFormat="false" ht="15" hidden="false" customHeight="false" outlineLevel="0" collapsed="false">
      <c r="A53" s="7" t="s">
        <v>1432</v>
      </c>
      <c r="B53" s="7" t="s">
        <v>1447</v>
      </c>
      <c r="C53" s="7" t="s">
        <v>1448</v>
      </c>
      <c r="D53" s="7" t="s">
        <v>1449</v>
      </c>
      <c r="E53" s="7" t="s">
        <v>85</v>
      </c>
      <c r="F53" s="7" t="s">
        <v>41</v>
      </c>
      <c r="G53" s="7" t="n">
        <v>12</v>
      </c>
      <c r="H53" s="7" t="s">
        <v>921</v>
      </c>
      <c r="I53" s="7" t="s">
        <v>60</v>
      </c>
      <c r="J53" s="7" t="s">
        <v>1450</v>
      </c>
    </row>
    <row r="54" customFormat="false" ht="23.85" hidden="false" customHeight="false" outlineLevel="0" collapsed="false">
      <c r="A54" s="6" t="s">
        <v>1451</v>
      </c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5" hidden="false" customHeight="false" outlineLevel="0" collapsed="false">
      <c r="A55" s="7" t="s">
        <v>1452</v>
      </c>
      <c r="B55" s="7" t="s">
        <v>1453</v>
      </c>
      <c r="C55" s="7" t="s">
        <v>1454</v>
      </c>
      <c r="D55" s="7" t="s">
        <v>1455</v>
      </c>
      <c r="E55" s="7" t="s">
        <v>1456</v>
      </c>
      <c r="F55" s="7" t="s">
        <v>41</v>
      </c>
      <c r="G55" s="7" t="n">
        <v>20</v>
      </c>
      <c r="H55" s="7"/>
      <c r="I55" s="7" t="s">
        <v>60</v>
      </c>
      <c r="J55" s="7" t="s">
        <v>1457</v>
      </c>
    </row>
    <row r="56" customFormat="false" ht="15" hidden="false" customHeight="false" outlineLevel="0" collapsed="false">
      <c r="A56" s="7" t="s">
        <v>1452</v>
      </c>
      <c r="B56" s="7" t="s">
        <v>1458</v>
      </c>
      <c r="C56" s="7" t="s">
        <v>1459</v>
      </c>
      <c r="D56" s="7" t="s">
        <v>1460</v>
      </c>
      <c r="E56" s="7" t="s">
        <v>69</v>
      </c>
      <c r="F56" s="7" t="s">
        <v>43</v>
      </c>
      <c r="G56" s="7" t="n">
        <v>6</v>
      </c>
      <c r="H56" s="7" t="s">
        <v>56</v>
      </c>
      <c r="I56" s="7" t="s">
        <v>60</v>
      </c>
      <c r="J56" s="7"/>
    </row>
    <row r="57" customFormat="false" ht="15" hidden="false" customHeight="false" outlineLevel="0" collapsed="false">
      <c r="A57" s="7" t="s">
        <v>1452</v>
      </c>
      <c r="B57" s="7" t="s">
        <v>1461</v>
      </c>
      <c r="C57" s="7" t="s">
        <v>1462</v>
      </c>
      <c r="D57" s="7" t="s">
        <v>1463</v>
      </c>
      <c r="E57" s="7" t="s">
        <v>69</v>
      </c>
      <c r="F57" s="7" t="s">
        <v>43</v>
      </c>
      <c r="G57" s="7" t="n">
        <v>6</v>
      </c>
      <c r="H57" s="7" t="s">
        <v>82</v>
      </c>
      <c r="I57" s="7" t="s">
        <v>60</v>
      </c>
      <c r="J5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23.85" hidden="false" customHeight="false" outlineLevel="0" collapsed="false">
      <c r="A2" s="6" t="s">
        <v>1464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23.85" hidden="false" customHeight="false" outlineLevel="0" collapsed="false">
      <c r="A3" s="7" t="s">
        <v>1465</v>
      </c>
      <c r="B3" s="7" t="s">
        <v>1466</v>
      </c>
      <c r="C3" s="7" t="s">
        <v>1467</v>
      </c>
      <c r="D3" s="7" t="s">
        <v>1468</v>
      </c>
      <c r="E3" s="7" t="s">
        <v>69</v>
      </c>
      <c r="F3" s="7" t="s">
        <v>35</v>
      </c>
      <c r="G3" s="7" t="n">
        <v>8</v>
      </c>
      <c r="H3" s="7"/>
      <c r="I3" s="7" t="s">
        <v>60</v>
      </c>
      <c r="J3" s="7" t="s">
        <v>1469</v>
      </c>
    </row>
    <row r="4" customFormat="false" ht="23.85" hidden="false" customHeight="false" outlineLevel="0" collapsed="false">
      <c r="A4" s="7" t="s">
        <v>1465</v>
      </c>
      <c r="B4" s="7" t="s">
        <v>1470</v>
      </c>
      <c r="C4" s="7" t="s">
        <v>1471</v>
      </c>
      <c r="D4" s="7" t="s">
        <v>1472</v>
      </c>
      <c r="E4" s="7" t="s">
        <v>59</v>
      </c>
      <c r="F4" s="7" t="s">
        <v>35</v>
      </c>
      <c r="G4" s="7" t="n">
        <v>10</v>
      </c>
      <c r="H4" s="7" t="s">
        <v>1473</v>
      </c>
      <c r="I4" s="7" t="s">
        <v>60</v>
      </c>
      <c r="J4" s="7" t="s">
        <v>1474</v>
      </c>
    </row>
    <row r="5" customFormat="false" ht="23.85" hidden="false" customHeight="false" outlineLevel="0" collapsed="false">
      <c r="A5" s="7" t="s">
        <v>1465</v>
      </c>
      <c r="B5" s="7" t="s">
        <v>1475</v>
      </c>
      <c r="C5" s="7" t="s">
        <v>1476</v>
      </c>
      <c r="D5" s="7" t="s">
        <v>1477</v>
      </c>
      <c r="E5" s="7" t="s">
        <v>59</v>
      </c>
      <c r="F5" s="7" t="s">
        <v>35</v>
      </c>
      <c r="G5" s="7" t="n">
        <v>6</v>
      </c>
      <c r="H5" s="7" t="s">
        <v>1478</v>
      </c>
      <c r="I5" s="7" t="s">
        <v>60</v>
      </c>
      <c r="J5" s="7"/>
    </row>
    <row r="6" customFormat="false" ht="23.85" hidden="false" customHeight="false" outlineLevel="0" collapsed="false">
      <c r="A6" s="7" t="s">
        <v>1465</v>
      </c>
      <c r="B6" s="7" t="s">
        <v>1479</v>
      </c>
      <c r="C6" s="7" t="s">
        <v>1480</v>
      </c>
      <c r="D6" s="7" t="s">
        <v>1481</v>
      </c>
      <c r="E6" s="7" t="s">
        <v>59</v>
      </c>
      <c r="F6" s="7" t="s">
        <v>38</v>
      </c>
      <c r="G6" s="7" t="n">
        <v>6</v>
      </c>
      <c r="H6" s="7" t="s">
        <v>1466</v>
      </c>
      <c r="I6" s="7" t="s">
        <v>60</v>
      </c>
      <c r="J6" s="7" t="s">
        <v>1482</v>
      </c>
    </row>
    <row r="7" customFormat="false" ht="23.85" hidden="false" customHeight="false" outlineLevel="0" collapsed="false">
      <c r="A7" s="7" t="s">
        <v>1465</v>
      </c>
      <c r="B7" s="7" t="s">
        <v>1483</v>
      </c>
      <c r="C7" s="7" t="s">
        <v>1484</v>
      </c>
      <c r="D7" s="7" t="s">
        <v>1485</v>
      </c>
      <c r="E7" s="7" t="s">
        <v>59</v>
      </c>
      <c r="F7" s="7" t="s">
        <v>38</v>
      </c>
      <c r="G7" s="7" t="n">
        <v>4</v>
      </c>
      <c r="H7" s="7" t="s">
        <v>1486</v>
      </c>
      <c r="I7" s="7" t="s">
        <v>60</v>
      </c>
      <c r="J7" s="7"/>
    </row>
    <row r="8" customFormat="false" ht="23.85" hidden="false" customHeight="false" outlineLevel="0" collapsed="false">
      <c r="A8" s="7" t="s">
        <v>1465</v>
      </c>
      <c r="B8" s="7" t="s">
        <v>1487</v>
      </c>
      <c r="C8" s="7" t="s">
        <v>1488</v>
      </c>
      <c r="D8" s="7" t="s">
        <v>1489</v>
      </c>
      <c r="E8" s="7" t="s">
        <v>59</v>
      </c>
      <c r="F8" s="7" t="s">
        <v>38</v>
      </c>
      <c r="G8" s="7" t="n">
        <v>4</v>
      </c>
      <c r="H8" s="7" t="s">
        <v>1466</v>
      </c>
      <c r="I8" s="7" t="s">
        <v>60</v>
      </c>
      <c r="J8" s="7"/>
    </row>
    <row r="9" customFormat="false" ht="23.85" hidden="false" customHeight="false" outlineLevel="0" collapsed="false">
      <c r="A9" s="7" t="s">
        <v>1465</v>
      </c>
      <c r="B9" s="7" t="s">
        <v>1490</v>
      </c>
      <c r="C9" s="7" t="s">
        <v>1491</v>
      </c>
      <c r="D9" s="7" t="s">
        <v>1492</v>
      </c>
      <c r="E9" s="7" t="s">
        <v>59</v>
      </c>
      <c r="F9" s="7" t="s">
        <v>35</v>
      </c>
      <c r="G9" s="7" t="n">
        <v>6</v>
      </c>
      <c r="H9" s="7" t="s">
        <v>1487</v>
      </c>
      <c r="I9" s="7" t="s">
        <v>60</v>
      </c>
      <c r="J9" s="7" t="s">
        <v>1493</v>
      </c>
    </row>
    <row r="10" customFormat="false" ht="15" hidden="false" customHeight="false" outlineLevel="0" collapsed="false">
      <c r="A10" s="6" t="s">
        <v>1494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23.85" hidden="false" customHeight="false" outlineLevel="0" collapsed="false">
      <c r="A11" s="7" t="s">
        <v>1495</v>
      </c>
      <c r="B11" s="7" t="s">
        <v>1496</v>
      </c>
      <c r="C11" s="7" t="s">
        <v>1497</v>
      </c>
      <c r="D11" s="7" t="s">
        <v>1498</v>
      </c>
      <c r="E11" s="7" t="s">
        <v>59</v>
      </c>
      <c r="F11" s="7" t="s">
        <v>38</v>
      </c>
      <c r="G11" s="7" t="n">
        <v>8</v>
      </c>
      <c r="H11" s="7" t="s">
        <v>213</v>
      </c>
      <c r="I11" s="7" t="s">
        <v>60</v>
      </c>
      <c r="J11" s="7" t="s">
        <v>1499</v>
      </c>
    </row>
    <row r="12" customFormat="false" ht="23.85" hidden="false" customHeight="false" outlineLevel="0" collapsed="false">
      <c r="A12" s="7" t="s">
        <v>1495</v>
      </c>
      <c r="B12" s="7" t="s">
        <v>1500</v>
      </c>
      <c r="C12" s="7" t="s">
        <v>1501</v>
      </c>
      <c r="D12" s="7" t="s">
        <v>1502</v>
      </c>
      <c r="E12" s="7" t="s">
        <v>59</v>
      </c>
      <c r="F12" s="7" t="s">
        <v>38</v>
      </c>
      <c r="G12" s="7" t="n">
        <v>6</v>
      </c>
      <c r="H12" s="7" t="s">
        <v>505</v>
      </c>
      <c r="I12" s="7" t="s">
        <v>60</v>
      </c>
      <c r="J12" s="7"/>
    </row>
    <row r="13" customFormat="false" ht="23.85" hidden="false" customHeight="false" outlineLevel="0" collapsed="false">
      <c r="A13" s="7" t="s">
        <v>1495</v>
      </c>
      <c r="B13" s="7" t="s">
        <v>1503</v>
      </c>
      <c r="C13" s="7" t="s">
        <v>1504</v>
      </c>
      <c r="D13" s="7" t="s">
        <v>1505</v>
      </c>
      <c r="E13" s="7" t="s">
        <v>59</v>
      </c>
      <c r="F13" s="7" t="s">
        <v>41</v>
      </c>
      <c r="G13" s="7" t="n">
        <v>6</v>
      </c>
      <c r="H13" s="7" t="s">
        <v>1496</v>
      </c>
      <c r="I13" s="7" t="s">
        <v>60</v>
      </c>
      <c r="J13" s="7" t="s">
        <v>1506</v>
      </c>
    </row>
    <row r="14" customFormat="false" ht="23.85" hidden="false" customHeight="false" outlineLevel="0" collapsed="false">
      <c r="A14" s="7" t="s">
        <v>1495</v>
      </c>
      <c r="B14" s="7" t="s">
        <v>1507</v>
      </c>
      <c r="C14" s="7" t="s">
        <v>1508</v>
      </c>
      <c r="D14" s="7" t="s">
        <v>1509</v>
      </c>
      <c r="E14" s="7" t="s">
        <v>59</v>
      </c>
      <c r="F14" s="7" t="s">
        <v>38</v>
      </c>
      <c r="G14" s="7" t="n">
        <v>4</v>
      </c>
      <c r="H14" s="7" t="s">
        <v>1496</v>
      </c>
      <c r="I14" s="7" t="s">
        <v>60</v>
      </c>
      <c r="J14" s="7"/>
    </row>
    <row r="15" customFormat="false" ht="23.85" hidden="false" customHeight="false" outlineLevel="0" collapsed="false">
      <c r="A15" s="7" t="s">
        <v>1495</v>
      </c>
      <c r="B15" s="7" t="s">
        <v>1510</v>
      </c>
      <c r="C15" s="7" t="s">
        <v>1511</v>
      </c>
      <c r="D15" s="7" t="s">
        <v>1512</v>
      </c>
      <c r="E15" s="7" t="s">
        <v>74</v>
      </c>
      <c r="F15" s="7" t="s">
        <v>38</v>
      </c>
      <c r="G15" s="7" t="n">
        <v>6</v>
      </c>
      <c r="H15" s="7" t="s">
        <v>213</v>
      </c>
      <c r="I15" s="7" t="s">
        <v>60</v>
      </c>
      <c r="J15" s="7" t="s">
        <v>1513</v>
      </c>
    </row>
    <row r="16" customFormat="false" ht="23.85" hidden="false" customHeight="false" outlineLevel="0" collapsed="false">
      <c r="A16" s="6" t="s">
        <v>1514</v>
      </c>
      <c r="B16" s="6"/>
      <c r="C16" s="6"/>
      <c r="D16" s="6"/>
      <c r="E16" s="6"/>
      <c r="F16" s="6"/>
      <c r="G16" s="6"/>
      <c r="H16" s="6"/>
      <c r="I16" s="6"/>
      <c r="J16" s="6"/>
    </row>
    <row r="17" customFormat="false" ht="23.85" hidden="false" customHeight="false" outlineLevel="0" collapsed="false">
      <c r="A17" s="7" t="s">
        <v>1515</v>
      </c>
      <c r="B17" s="7" t="s">
        <v>1516</v>
      </c>
      <c r="C17" s="7" t="s">
        <v>1517</v>
      </c>
      <c r="D17" s="7" t="s">
        <v>1518</v>
      </c>
      <c r="E17" s="7" t="s">
        <v>59</v>
      </c>
      <c r="F17" s="7" t="s">
        <v>38</v>
      </c>
      <c r="G17" s="7" t="n">
        <v>12</v>
      </c>
      <c r="H17" s="7" t="s">
        <v>111</v>
      </c>
      <c r="I17" s="7" t="s">
        <v>60</v>
      </c>
      <c r="J17" s="7"/>
    </row>
    <row r="18" customFormat="false" ht="23.85" hidden="false" customHeight="false" outlineLevel="0" collapsed="false">
      <c r="A18" s="7" t="s">
        <v>1515</v>
      </c>
      <c r="B18" s="7" t="s">
        <v>1519</v>
      </c>
      <c r="C18" s="7" t="s">
        <v>1520</v>
      </c>
      <c r="D18" s="7" t="s">
        <v>1521</v>
      </c>
      <c r="E18" s="7" t="s">
        <v>59</v>
      </c>
      <c r="F18" s="7" t="s">
        <v>38</v>
      </c>
      <c r="G18" s="7" t="n">
        <v>16</v>
      </c>
      <c r="H18" s="7" t="s">
        <v>1516</v>
      </c>
      <c r="I18" s="7" t="s">
        <v>60</v>
      </c>
      <c r="J18" s="7" t="s">
        <v>1522</v>
      </c>
    </row>
    <row r="19" customFormat="false" ht="23.85" hidden="false" customHeight="false" outlineLevel="0" collapsed="false">
      <c r="A19" s="7" t="s">
        <v>1515</v>
      </c>
      <c r="B19" s="7" t="s">
        <v>1523</v>
      </c>
      <c r="C19" s="7" t="s">
        <v>1524</v>
      </c>
      <c r="D19" s="7" t="s">
        <v>1525</v>
      </c>
      <c r="E19" s="7" t="s">
        <v>59</v>
      </c>
      <c r="F19" s="7" t="s">
        <v>38</v>
      </c>
      <c r="G19" s="7" t="n">
        <v>8</v>
      </c>
      <c r="H19" s="7" t="s">
        <v>1526</v>
      </c>
      <c r="I19" s="7" t="s">
        <v>60</v>
      </c>
      <c r="J19" s="7"/>
    </row>
    <row r="20" customFormat="false" ht="23.85" hidden="false" customHeight="false" outlineLevel="0" collapsed="false">
      <c r="A20" s="7" t="s">
        <v>1515</v>
      </c>
      <c r="B20" s="7" t="s">
        <v>1527</v>
      </c>
      <c r="C20" s="7" t="s">
        <v>1528</v>
      </c>
      <c r="D20" s="7" t="s">
        <v>1529</v>
      </c>
      <c r="E20" s="7" t="s">
        <v>59</v>
      </c>
      <c r="F20" s="7" t="s">
        <v>38</v>
      </c>
      <c r="G20" s="7" t="n">
        <v>10</v>
      </c>
      <c r="H20" s="7" t="s">
        <v>1519</v>
      </c>
      <c r="I20" s="7" t="s">
        <v>60</v>
      </c>
      <c r="J20" s="7"/>
    </row>
    <row r="21" customFormat="false" ht="23.85" hidden="false" customHeight="false" outlineLevel="0" collapsed="false">
      <c r="A21" s="7" t="s">
        <v>1515</v>
      </c>
      <c r="B21" s="7" t="s">
        <v>1530</v>
      </c>
      <c r="C21" s="7" t="s">
        <v>1531</v>
      </c>
      <c r="D21" s="7" t="s">
        <v>1532</v>
      </c>
      <c r="E21" s="7" t="s">
        <v>59</v>
      </c>
      <c r="F21" s="7" t="s">
        <v>41</v>
      </c>
      <c r="G21" s="7" t="n">
        <v>16</v>
      </c>
      <c r="H21" s="7" t="s">
        <v>1466</v>
      </c>
      <c r="I21" s="7" t="s">
        <v>60</v>
      </c>
      <c r="J21" s="7" t="s">
        <v>1533</v>
      </c>
    </row>
    <row r="22" customFormat="false" ht="23.85" hidden="false" customHeight="false" outlineLevel="0" collapsed="false">
      <c r="A22" s="7" t="s">
        <v>1515</v>
      </c>
      <c r="B22" s="7" t="s">
        <v>1534</v>
      </c>
      <c r="C22" s="7" t="s">
        <v>1535</v>
      </c>
      <c r="D22" s="7" t="s">
        <v>1536</v>
      </c>
      <c r="E22" s="7" t="s">
        <v>59</v>
      </c>
      <c r="F22" s="7" t="s">
        <v>43</v>
      </c>
      <c r="G22" s="7" t="n">
        <v>20</v>
      </c>
      <c r="H22" s="7" t="s">
        <v>1519</v>
      </c>
      <c r="I22" s="7" t="s">
        <v>60</v>
      </c>
      <c r="J22" s="7" t="s">
        <v>1537</v>
      </c>
    </row>
    <row r="23" customFormat="false" ht="23.85" hidden="false" customHeight="false" outlineLevel="0" collapsed="false">
      <c r="A23" s="6" t="s">
        <v>1538</v>
      </c>
      <c r="B23" s="6"/>
      <c r="C23" s="6"/>
      <c r="D23" s="6"/>
      <c r="E23" s="6"/>
      <c r="F23" s="6"/>
      <c r="G23" s="6"/>
      <c r="H23" s="6"/>
      <c r="I23" s="6"/>
      <c r="J23" s="6"/>
    </row>
    <row r="24" customFormat="false" ht="23.85" hidden="false" customHeight="false" outlineLevel="0" collapsed="false">
      <c r="A24" s="7" t="s">
        <v>1539</v>
      </c>
      <c r="B24" s="7" t="s">
        <v>1540</v>
      </c>
      <c r="C24" s="7" t="s">
        <v>1541</v>
      </c>
      <c r="D24" s="7" t="s">
        <v>1542</v>
      </c>
      <c r="E24" s="7" t="s">
        <v>59</v>
      </c>
      <c r="F24" s="7" t="s">
        <v>35</v>
      </c>
      <c r="G24" s="7" t="n">
        <v>8</v>
      </c>
      <c r="H24" s="7" t="s">
        <v>1470</v>
      </c>
      <c r="I24" s="7" t="s">
        <v>60</v>
      </c>
      <c r="J24" s="7" t="s">
        <v>1543</v>
      </c>
    </row>
    <row r="25" customFormat="false" ht="23.85" hidden="false" customHeight="false" outlineLevel="0" collapsed="false">
      <c r="A25" s="7" t="s">
        <v>1539</v>
      </c>
      <c r="B25" s="7" t="s">
        <v>1544</v>
      </c>
      <c r="C25" s="7" t="s">
        <v>1545</v>
      </c>
      <c r="D25" s="7" t="s">
        <v>1546</v>
      </c>
      <c r="E25" s="7" t="s">
        <v>59</v>
      </c>
      <c r="F25" s="7" t="s">
        <v>38</v>
      </c>
      <c r="G25" s="7" t="n">
        <v>6</v>
      </c>
      <c r="H25" s="7" t="s">
        <v>1547</v>
      </c>
      <c r="I25" s="7" t="s">
        <v>60</v>
      </c>
      <c r="J25" s="7" t="s">
        <v>1548</v>
      </c>
    </row>
    <row r="26" customFormat="false" ht="23.85" hidden="false" customHeight="false" outlineLevel="0" collapsed="false">
      <c r="A26" s="7" t="s">
        <v>1539</v>
      </c>
      <c r="B26" s="7" t="s">
        <v>1549</v>
      </c>
      <c r="C26" s="7" t="s">
        <v>1550</v>
      </c>
      <c r="D26" s="7" t="s">
        <v>1551</v>
      </c>
      <c r="E26" s="7" t="s">
        <v>59</v>
      </c>
      <c r="F26" s="7" t="s">
        <v>35</v>
      </c>
      <c r="G26" s="7" t="n">
        <v>12</v>
      </c>
      <c r="H26" s="7" t="s">
        <v>1470</v>
      </c>
      <c r="I26" s="7" t="s">
        <v>60</v>
      </c>
      <c r="J26" s="7" t="s">
        <v>1552</v>
      </c>
    </row>
    <row r="27" customFormat="false" ht="23.85" hidden="false" customHeight="false" outlineLevel="0" collapsed="false">
      <c r="A27" s="7" t="s">
        <v>1539</v>
      </c>
      <c r="B27" s="7" t="s">
        <v>1553</v>
      </c>
      <c r="C27" s="7" t="s">
        <v>1554</v>
      </c>
      <c r="D27" s="7" t="s">
        <v>1555</v>
      </c>
      <c r="E27" s="7" t="s">
        <v>59</v>
      </c>
      <c r="F27" s="7" t="s">
        <v>38</v>
      </c>
      <c r="G27" s="7" t="n">
        <v>4</v>
      </c>
      <c r="H27" s="7" t="s">
        <v>1556</v>
      </c>
      <c r="I27" s="7" t="s">
        <v>60</v>
      </c>
      <c r="J27" s="7"/>
    </row>
    <row r="28" customFormat="false" ht="23.85" hidden="false" customHeight="false" outlineLevel="0" collapsed="false">
      <c r="A28" s="7" t="s">
        <v>1539</v>
      </c>
      <c r="B28" s="7" t="s">
        <v>1557</v>
      </c>
      <c r="C28" s="7" t="s">
        <v>1558</v>
      </c>
      <c r="D28" s="7" t="s">
        <v>1559</v>
      </c>
      <c r="E28" s="7" t="s">
        <v>59</v>
      </c>
      <c r="F28" s="7" t="s">
        <v>35</v>
      </c>
      <c r="G28" s="7" t="n">
        <v>10</v>
      </c>
      <c r="H28" s="7" t="s">
        <v>1560</v>
      </c>
      <c r="I28" s="7" t="s">
        <v>60</v>
      </c>
      <c r="J28" s="7" t="s">
        <v>1561</v>
      </c>
    </row>
    <row r="29" customFormat="false" ht="23.85" hidden="false" customHeight="false" outlineLevel="0" collapsed="false">
      <c r="A29" s="6" t="s">
        <v>1562</v>
      </c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" hidden="false" customHeight="false" outlineLevel="0" collapsed="false">
      <c r="A30" s="7" t="s">
        <v>1563</v>
      </c>
      <c r="B30" s="7" t="s">
        <v>1564</v>
      </c>
      <c r="C30" s="7" t="s">
        <v>1565</v>
      </c>
      <c r="D30" s="7" t="s">
        <v>1566</v>
      </c>
      <c r="E30" s="7" t="s">
        <v>74</v>
      </c>
      <c r="F30" s="7" t="s">
        <v>41</v>
      </c>
      <c r="G30" s="7" t="n">
        <v>16</v>
      </c>
      <c r="H30" s="7" t="s">
        <v>181</v>
      </c>
      <c r="I30" s="7" t="s">
        <v>60</v>
      </c>
      <c r="J30" s="7" t="s">
        <v>1567</v>
      </c>
    </row>
    <row r="31" customFormat="false" ht="15" hidden="false" customHeight="false" outlineLevel="0" collapsed="false">
      <c r="A31" s="7" t="s">
        <v>1563</v>
      </c>
      <c r="B31" s="7" t="s">
        <v>1568</v>
      </c>
      <c r="C31" s="7" t="s">
        <v>1569</v>
      </c>
      <c r="D31" s="7" t="s">
        <v>1570</v>
      </c>
      <c r="E31" s="7" t="s">
        <v>74</v>
      </c>
      <c r="F31" s="7" t="s">
        <v>41</v>
      </c>
      <c r="G31" s="7" t="n">
        <v>10</v>
      </c>
      <c r="H31" s="7" t="s">
        <v>203</v>
      </c>
      <c r="I31" s="7" t="s">
        <v>60</v>
      </c>
      <c r="J31" s="7" t="s">
        <v>1571</v>
      </c>
    </row>
    <row r="32" customFormat="false" ht="23.85" hidden="false" customHeight="false" outlineLevel="0" collapsed="false">
      <c r="A32" s="7" t="s">
        <v>1563</v>
      </c>
      <c r="B32" s="7" t="s">
        <v>1572</v>
      </c>
      <c r="C32" s="7" t="s">
        <v>1573</v>
      </c>
      <c r="D32" s="7" t="s">
        <v>1574</v>
      </c>
      <c r="E32" s="7" t="s">
        <v>74</v>
      </c>
      <c r="F32" s="7" t="s">
        <v>41</v>
      </c>
      <c r="G32" s="7" t="n">
        <v>6</v>
      </c>
      <c r="H32" s="7" t="s">
        <v>189</v>
      </c>
      <c r="I32" s="7" t="s">
        <v>60</v>
      </c>
      <c r="J32" s="7"/>
    </row>
    <row r="33" customFormat="false" ht="15" hidden="false" customHeight="false" outlineLevel="0" collapsed="false">
      <c r="A33" s="7" t="s">
        <v>1563</v>
      </c>
      <c r="B33" s="7" t="s">
        <v>1575</v>
      </c>
      <c r="C33" s="7" t="s">
        <v>1576</v>
      </c>
      <c r="D33" s="7" t="s">
        <v>1577</v>
      </c>
      <c r="E33" s="7" t="s">
        <v>373</v>
      </c>
      <c r="F33" s="7" t="s">
        <v>41</v>
      </c>
      <c r="G33" s="7" t="n">
        <v>8</v>
      </c>
      <c r="H33" s="7" t="s">
        <v>370</v>
      </c>
      <c r="I33" s="7" t="s">
        <v>60</v>
      </c>
      <c r="J33" s="7" t="s">
        <v>1578</v>
      </c>
    </row>
    <row r="34" customFormat="false" ht="15" hidden="false" customHeight="false" outlineLevel="0" collapsed="false">
      <c r="A34" s="7" t="s">
        <v>1563</v>
      </c>
      <c r="B34" s="7" t="s">
        <v>1579</v>
      </c>
      <c r="C34" s="7" t="s">
        <v>1580</v>
      </c>
      <c r="D34" s="7" t="s">
        <v>1581</v>
      </c>
      <c r="E34" s="7" t="s">
        <v>85</v>
      </c>
      <c r="F34" s="7" t="s">
        <v>41</v>
      </c>
      <c r="G34" s="7" t="n">
        <v>12</v>
      </c>
      <c r="H34" s="7" t="s">
        <v>810</v>
      </c>
      <c r="I34" s="7" t="s">
        <v>60</v>
      </c>
      <c r="J34" s="7" t="s">
        <v>1582</v>
      </c>
    </row>
    <row r="35" customFormat="false" ht="15" hidden="false" customHeight="false" outlineLevel="0" collapsed="false">
      <c r="A35" s="7" t="s">
        <v>1563</v>
      </c>
      <c r="B35" s="7" t="s">
        <v>1583</v>
      </c>
      <c r="C35" s="7" t="s">
        <v>1584</v>
      </c>
      <c r="D35" s="7" t="s">
        <v>1585</v>
      </c>
      <c r="E35" s="7" t="s">
        <v>85</v>
      </c>
      <c r="F35" s="7" t="s">
        <v>41</v>
      </c>
      <c r="G35" s="7" t="n">
        <v>8</v>
      </c>
      <c r="H35" s="7" t="s">
        <v>817</v>
      </c>
      <c r="I35" s="7" t="s">
        <v>60</v>
      </c>
      <c r="J35" s="7" t="s">
        <v>1586</v>
      </c>
    </row>
    <row r="36" customFormat="false" ht="15" hidden="false" customHeight="false" outlineLevel="0" collapsed="false">
      <c r="A36" s="7" t="s">
        <v>1563</v>
      </c>
      <c r="B36" s="7" t="s">
        <v>1587</v>
      </c>
      <c r="C36" s="7" t="s">
        <v>1588</v>
      </c>
      <c r="D36" s="7" t="s">
        <v>1589</v>
      </c>
      <c r="E36" s="7" t="s">
        <v>85</v>
      </c>
      <c r="F36" s="7" t="s">
        <v>41</v>
      </c>
      <c r="G36" s="7" t="n">
        <v>10</v>
      </c>
      <c r="H36" s="7" t="s">
        <v>810</v>
      </c>
      <c r="I36" s="7" t="s">
        <v>60</v>
      </c>
      <c r="J36" s="7" t="s">
        <v>1590</v>
      </c>
    </row>
    <row r="37" customFormat="false" ht="15" hidden="false" customHeight="false" outlineLevel="0" collapsed="false">
      <c r="A37" s="7" t="s">
        <v>1563</v>
      </c>
      <c r="B37" s="7" t="s">
        <v>1591</v>
      </c>
      <c r="C37" s="7" t="s">
        <v>1592</v>
      </c>
      <c r="D37" s="7" t="s">
        <v>1593</v>
      </c>
      <c r="E37" s="7" t="s">
        <v>85</v>
      </c>
      <c r="F37" s="7" t="s">
        <v>43</v>
      </c>
      <c r="G37" s="7" t="n">
        <v>6</v>
      </c>
      <c r="H37" s="7" t="s">
        <v>810</v>
      </c>
      <c r="I37" s="7" t="s">
        <v>60</v>
      </c>
      <c r="J37" s="7" t="s">
        <v>1594</v>
      </c>
    </row>
    <row r="38" customFormat="false" ht="15" hidden="false" customHeight="false" outlineLevel="0" collapsed="false">
      <c r="A38" s="7" t="s">
        <v>1563</v>
      </c>
      <c r="B38" s="7" t="s">
        <v>1595</v>
      </c>
      <c r="C38" s="7" t="s">
        <v>1596</v>
      </c>
      <c r="D38" s="7" t="s">
        <v>1597</v>
      </c>
      <c r="E38" s="7" t="s">
        <v>74</v>
      </c>
      <c r="F38" s="7" t="s">
        <v>38</v>
      </c>
      <c r="G38" s="7" t="n">
        <v>12</v>
      </c>
      <c r="H38" s="7" t="s">
        <v>1598</v>
      </c>
      <c r="I38" s="7" t="s">
        <v>60</v>
      </c>
      <c r="J38" s="7" t="s">
        <v>293</v>
      </c>
    </row>
    <row r="39" customFormat="false" ht="15" hidden="false" customHeight="false" outlineLevel="0" collapsed="false">
      <c r="A39" s="7" t="s">
        <v>1563</v>
      </c>
      <c r="B39" s="7" t="s">
        <v>1599</v>
      </c>
      <c r="C39" s="7" t="s">
        <v>1600</v>
      </c>
      <c r="D39" s="7" t="s">
        <v>1601</v>
      </c>
      <c r="E39" s="7" t="s">
        <v>74</v>
      </c>
      <c r="F39" s="7" t="s">
        <v>38</v>
      </c>
      <c r="G39" s="7" t="n">
        <v>12</v>
      </c>
      <c r="H39" s="7" t="s">
        <v>181</v>
      </c>
      <c r="I39" s="7" t="s">
        <v>60</v>
      </c>
      <c r="J39" s="7" t="s">
        <v>1602</v>
      </c>
    </row>
    <row r="40" customFormat="false" ht="15" hidden="false" customHeight="false" outlineLevel="0" collapsed="false">
      <c r="A40" s="6" t="s">
        <v>1603</v>
      </c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" hidden="false" customHeight="false" outlineLevel="0" collapsed="false">
      <c r="A41" s="7" t="s">
        <v>1604</v>
      </c>
      <c r="B41" s="7" t="s">
        <v>1605</v>
      </c>
      <c r="C41" s="7" t="s">
        <v>1606</v>
      </c>
      <c r="D41" s="7" t="s">
        <v>1607</v>
      </c>
      <c r="E41" s="7" t="s">
        <v>59</v>
      </c>
      <c r="F41" s="7" t="s">
        <v>41</v>
      </c>
      <c r="G41" s="7" t="n">
        <v>12</v>
      </c>
      <c r="H41" s="7" t="s">
        <v>505</v>
      </c>
      <c r="I41" s="7" t="s">
        <v>60</v>
      </c>
      <c r="J41" s="7"/>
    </row>
    <row r="42" customFormat="false" ht="15" hidden="false" customHeight="false" outlineLevel="0" collapsed="false">
      <c r="A42" s="7" t="s">
        <v>1604</v>
      </c>
      <c r="B42" s="7" t="s">
        <v>1608</v>
      </c>
      <c r="C42" s="7" t="s">
        <v>1609</v>
      </c>
      <c r="D42" s="7" t="s">
        <v>1610</v>
      </c>
      <c r="E42" s="7" t="s">
        <v>59</v>
      </c>
      <c r="F42" s="7" t="s">
        <v>43</v>
      </c>
      <c r="G42" s="7" t="n">
        <v>16</v>
      </c>
      <c r="H42" s="7" t="s">
        <v>1530</v>
      </c>
      <c r="I42" s="7" t="s">
        <v>60</v>
      </c>
      <c r="J42" s="7" t="s">
        <v>1611</v>
      </c>
    </row>
    <row r="43" customFormat="false" ht="15" hidden="false" customHeight="false" outlineLevel="0" collapsed="false">
      <c r="A43" s="7" t="s">
        <v>1604</v>
      </c>
      <c r="B43" s="7" t="s">
        <v>1612</v>
      </c>
      <c r="C43" s="7" t="s">
        <v>1613</v>
      </c>
      <c r="D43" s="7" t="s">
        <v>1614</v>
      </c>
      <c r="E43" s="7" t="s">
        <v>74</v>
      </c>
      <c r="F43" s="7" t="s">
        <v>43</v>
      </c>
      <c r="G43" s="7" t="n">
        <v>10</v>
      </c>
      <c r="H43" s="7" t="s">
        <v>497</v>
      </c>
      <c r="I43" s="7" t="s">
        <v>60</v>
      </c>
      <c r="J43" s="7" t="s">
        <v>1615</v>
      </c>
    </row>
    <row r="44" customFormat="false" ht="15" hidden="false" customHeight="false" outlineLevel="0" collapsed="false">
      <c r="A44" s="7" t="s">
        <v>1604</v>
      </c>
      <c r="B44" s="7" t="s">
        <v>1616</v>
      </c>
      <c r="C44" s="7" t="s">
        <v>1617</v>
      </c>
      <c r="D44" s="7" t="s">
        <v>1618</v>
      </c>
      <c r="E44" s="7" t="s">
        <v>69</v>
      </c>
      <c r="F44" s="7" t="s">
        <v>43</v>
      </c>
      <c r="G44" s="7" t="n">
        <v>20</v>
      </c>
      <c r="H44" s="7" t="s">
        <v>148</v>
      </c>
      <c r="I44" s="7" t="s">
        <v>60</v>
      </c>
      <c r="J44" s="7" t="s">
        <v>1537</v>
      </c>
    </row>
    <row r="45" customFormat="false" ht="15" hidden="false" customHeight="false" outlineLevel="0" collapsed="false">
      <c r="A45" s="6" t="s">
        <v>1619</v>
      </c>
      <c r="B45" s="6"/>
      <c r="C45" s="6"/>
      <c r="D45" s="6"/>
      <c r="E45" s="6"/>
      <c r="F45" s="6"/>
      <c r="G45" s="6"/>
      <c r="H45" s="6"/>
      <c r="I45" s="6"/>
      <c r="J45" s="6"/>
    </row>
    <row r="46" customFormat="false" ht="23.85" hidden="false" customHeight="false" outlineLevel="0" collapsed="false">
      <c r="A46" s="7" t="s">
        <v>1620</v>
      </c>
      <c r="B46" s="7" t="s">
        <v>1621</v>
      </c>
      <c r="C46" s="7" t="s">
        <v>1622</v>
      </c>
      <c r="D46" s="7" t="s">
        <v>1623</v>
      </c>
      <c r="E46" s="7" t="s">
        <v>1624</v>
      </c>
      <c r="F46" s="7" t="s">
        <v>35</v>
      </c>
      <c r="G46" s="7" t="n">
        <v>40</v>
      </c>
      <c r="H46" s="7" t="s">
        <v>1625</v>
      </c>
      <c r="I46" s="7" t="s">
        <v>60</v>
      </c>
      <c r="J46" s="7" t="s">
        <v>1626</v>
      </c>
    </row>
    <row r="47" customFormat="false" ht="23.85" hidden="false" customHeight="false" outlineLevel="0" collapsed="false">
      <c r="A47" s="7" t="s">
        <v>1620</v>
      </c>
      <c r="B47" s="7" t="s">
        <v>1627</v>
      </c>
      <c r="C47" s="7" t="s">
        <v>1628</v>
      </c>
      <c r="D47" s="7" t="s">
        <v>1629</v>
      </c>
      <c r="E47" s="7" t="s">
        <v>1137</v>
      </c>
      <c r="F47" s="7" t="s">
        <v>35</v>
      </c>
      <c r="G47" s="7" t="n">
        <v>20</v>
      </c>
      <c r="H47" s="7" t="s">
        <v>1630</v>
      </c>
      <c r="I47" s="7" t="s">
        <v>60</v>
      </c>
      <c r="J47" s="7" t="s">
        <v>1631</v>
      </c>
    </row>
    <row r="48" customFormat="false" ht="23.85" hidden="false" customHeight="false" outlineLevel="0" collapsed="false">
      <c r="A48" s="7" t="s">
        <v>1620</v>
      </c>
      <c r="B48" s="7" t="s">
        <v>1632</v>
      </c>
      <c r="C48" s="7" t="s">
        <v>1633</v>
      </c>
      <c r="D48" s="7" t="s">
        <v>1634</v>
      </c>
      <c r="E48" s="7" t="s">
        <v>1624</v>
      </c>
      <c r="F48" s="7" t="s">
        <v>38</v>
      </c>
      <c r="G48" s="7" t="n">
        <v>40</v>
      </c>
      <c r="H48" s="7" t="s">
        <v>1635</v>
      </c>
      <c r="I48" s="7" t="s">
        <v>60</v>
      </c>
      <c r="J48" s="7"/>
    </row>
    <row r="49" customFormat="false" ht="23.85" hidden="false" customHeight="false" outlineLevel="0" collapsed="false">
      <c r="A49" s="7" t="s">
        <v>1620</v>
      </c>
      <c r="B49" s="7" t="s">
        <v>1636</v>
      </c>
      <c r="C49" s="7" t="s">
        <v>1637</v>
      </c>
      <c r="D49" s="7" t="s">
        <v>1638</v>
      </c>
      <c r="E49" s="7" t="s">
        <v>69</v>
      </c>
      <c r="F49" s="7" t="s">
        <v>38</v>
      </c>
      <c r="G49" s="7" t="n">
        <v>12</v>
      </c>
      <c r="H49" s="7"/>
      <c r="I49" s="7" t="s">
        <v>60</v>
      </c>
      <c r="J49" s="7"/>
    </row>
    <row r="50" customFormat="false" ht="23.85" hidden="false" customHeight="false" outlineLevel="0" collapsed="false">
      <c r="A50" s="7" t="s">
        <v>1620</v>
      </c>
      <c r="B50" s="7" t="s">
        <v>1639</v>
      </c>
      <c r="C50" s="7" t="s">
        <v>1640</v>
      </c>
      <c r="D50" s="7" t="s">
        <v>1641</v>
      </c>
      <c r="E50" s="7" t="s">
        <v>1185</v>
      </c>
      <c r="F50" s="7" t="s">
        <v>38</v>
      </c>
      <c r="G50" s="7" t="n">
        <v>8</v>
      </c>
      <c r="H50" s="7"/>
      <c r="I50" s="7" t="s">
        <v>60</v>
      </c>
      <c r="J50" s="7" t="s">
        <v>1642</v>
      </c>
    </row>
    <row r="51" customFormat="false" ht="23.85" hidden="false" customHeight="false" outlineLevel="0" collapsed="false">
      <c r="A51" s="7" t="s">
        <v>1620</v>
      </c>
      <c r="B51" s="7" t="s">
        <v>1643</v>
      </c>
      <c r="C51" s="7" t="s">
        <v>1644</v>
      </c>
      <c r="D51" s="7" t="s">
        <v>1645</v>
      </c>
      <c r="E51" s="7" t="s">
        <v>69</v>
      </c>
      <c r="F51" s="7" t="s">
        <v>38</v>
      </c>
      <c r="G51" s="7" t="n">
        <v>8</v>
      </c>
      <c r="H51" s="7"/>
      <c r="I51" s="7" t="s">
        <v>60</v>
      </c>
      <c r="J51" s="7"/>
    </row>
    <row r="52" customFormat="false" ht="23.85" hidden="false" customHeight="false" outlineLevel="0" collapsed="false">
      <c r="A52" s="7" t="s">
        <v>1620</v>
      </c>
      <c r="B52" s="7" t="s">
        <v>1646</v>
      </c>
      <c r="C52" s="7" t="s">
        <v>1647</v>
      </c>
      <c r="D52" s="7" t="s">
        <v>1648</v>
      </c>
      <c r="E52" s="7" t="s">
        <v>1185</v>
      </c>
      <c r="F52" s="7" t="s">
        <v>35</v>
      </c>
      <c r="G52" s="7" t="n">
        <v>40</v>
      </c>
      <c r="H52" s="7" t="s">
        <v>1649</v>
      </c>
      <c r="I52" s="7" t="s">
        <v>60</v>
      </c>
      <c r="J52" s="7" t="s">
        <v>1650</v>
      </c>
    </row>
    <row r="53" customFormat="false" ht="23.85" hidden="false" customHeight="false" outlineLevel="0" collapsed="false">
      <c r="A53" s="7" t="s">
        <v>1620</v>
      </c>
      <c r="B53" s="7" t="s">
        <v>1651</v>
      </c>
      <c r="C53" s="7" t="s">
        <v>1652</v>
      </c>
      <c r="D53" s="7" t="s">
        <v>1653</v>
      </c>
      <c r="E53" s="7" t="s">
        <v>1654</v>
      </c>
      <c r="F53" s="7" t="s">
        <v>38</v>
      </c>
      <c r="G53" s="7" t="n">
        <v>40</v>
      </c>
      <c r="H53" s="7" t="s">
        <v>1034</v>
      </c>
      <c r="I53" s="7" t="s">
        <v>60</v>
      </c>
      <c r="J53" s="7"/>
    </row>
    <row r="54" customFormat="false" ht="15" hidden="false" customHeight="false" outlineLevel="0" collapsed="false">
      <c r="A54" s="6" t="s">
        <v>1655</v>
      </c>
      <c r="B54" s="6"/>
      <c r="C54" s="6"/>
      <c r="D54" s="6"/>
      <c r="E54" s="6"/>
      <c r="F54" s="6"/>
      <c r="G54" s="6"/>
      <c r="H54" s="6"/>
      <c r="I54" s="6"/>
      <c r="J54" s="6"/>
    </row>
    <row r="55" customFormat="false" ht="23.85" hidden="false" customHeight="false" outlineLevel="0" collapsed="false">
      <c r="A55" s="7" t="s">
        <v>1656</v>
      </c>
      <c r="B55" s="7" t="s">
        <v>1657</v>
      </c>
      <c r="C55" s="7" t="s">
        <v>1658</v>
      </c>
      <c r="D55" s="7" t="s">
        <v>1659</v>
      </c>
      <c r="E55" s="7" t="s">
        <v>59</v>
      </c>
      <c r="F55" s="7" t="s">
        <v>38</v>
      </c>
      <c r="G55" s="7" t="n">
        <v>8</v>
      </c>
      <c r="H55" s="7" t="s">
        <v>1660</v>
      </c>
      <c r="I55" s="7" t="s">
        <v>60</v>
      </c>
      <c r="J55" s="7"/>
    </row>
    <row r="56" customFormat="false" ht="23.85" hidden="false" customHeight="false" outlineLevel="0" collapsed="false">
      <c r="A56" s="7" t="s">
        <v>1656</v>
      </c>
      <c r="B56" s="7" t="s">
        <v>1661</v>
      </c>
      <c r="C56" s="7" t="s">
        <v>1662</v>
      </c>
      <c r="D56" s="7" t="s">
        <v>1663</v>
      </c>
      <c r="E56" s="7" t="s">
        <v>1185</v>
      </c>
      <c r="F56" s="7" t="s">
        <v>38</v>
      </c>
      <c r="G56" s="7" t="n">
        <v>20</v>
      </c>
      <c r="H56" s="7" t="s">
        <v>1664</v>
      </c>
      <c r="I56" s="7" t="s">
        <v>60</v>
      </c>
      <c r="J56" s="7" t="s">
        <v>1665</v>
      </c>
    </row>
    <row r="57" customFormat="false" ht="23.85" hidden="false" customHeight="false" outlineLevel="0" collapsed="false">
      <c r="A57" s="7" t="s">
        <v>1656</v>
      </c>
      <c r="B57" s="7" t="s">
        <v>1666</v>
      </c>
      <c r="C57" s="7" t="s">
        <v>1667</v>
      </c>
      <c r="D57" s="7" t="s">
        <v>1668</v>
      </c>
      <c r="E57" s="7" t="s">
        <v>1185</v>
      </c>
      <c r="F57" s="7" t="s">
        <v>38</v>
      </c>
      <c r="G57" s="7" t="n">
        <v>20</v>
      </c>
      <c r="H57" s="7" t="s">
        <v>1661</v>
      </c>
      <c r="I57" s="7" t="s">
        <v>60</v>
      </c>
      <c r="J57" s="7"/>
    </row>
    <row r="58" customFormat="false" ht="23.85" hidden="false" customHeight="false" outlineLevel="0" collapsed="false">
      <c r="A58" s="7" t="s">
        <v>1656</v>
      </c>
      <c r="B58" s="7" t="s">
        <v>1669</v>
      </c>
      <c r="C58" s="7" t="s">
        <v>1670</v>
      </c>
      <c r="D58" s="7" t="s">
        <v>1671</v>
      </c>
      <c r="E58" s="7" t="s">
        <v>1456</v>
      </c>
      <c r="F58" s="7" t="s">
        <v>35</v>
      </c>
      <c r="G58" s="7" t="n">
        <v>80</v>
      </c>
      <c r="H58" s="7" t="s">
        <v>1666</v>
      </c>
      <c r="I58" s="7" t="s">
        <v>60</v>
      </c>
      <c r="J58" s="7" t="s">
        <v>1672</v>
      </c>
    </row>
    <row r="59" customFormat="false" ht="15" hidden="false" customHeight="false" outlineLevel="0" collapsed="false">
      <c r="A59" s="6" t="s">
        <v>1673</v>
      </c>
      <c r="B59" s="6"/>
      <c r="C59" s="6"/>
      <c r="D59" s="6"/>
      <c r="E59" s="6"/>
      <c r="F59" s="6"/>
      <c r="G59" s="6"/>
      <c r="H59" s="6"/>
      <c r="I59" s="6"/>
      <c r="J59" s="6"/>
    </row>
    <row r="60" customFormat="false" ht="23.85" hidden="false" customHeight="false" outlineLevel="0" collapsed="false">
      <c r="A60" s="7" t="s">
        <v>1674</v>
      </c>
      <c r="B60" s="7" t="s">
        <v>1675</v>
      </c>
      <c r="C60" s="7" t="s">
        <v>1676</v>
      </c>
      <c r="D60" s="7" t="s">
        <v>1677</v>
      </c>
      <c r="E60" s="7" t="s">
        <v>59</v>
      </c>
      <c r="F60" s="7" t="s">
        <v>35</v>
      </c>
      <c r="G60" s="7" t="n">
        <v>8</v>
      </c>
      <c r="H60" s="7" t="s">
        <v>1678</v>
      </c>
      <c r="I60" s="7" t="s">
        <v>60</v>
      </c>
      <c r="J60" s="7"/>
    </row>
    <row r="61" customFormat="false" ht="23.85" hidden="false" customHeight="false" outlineLevel="0" collapsed="false">
      <c r="A61" s="7" t="s">
        <v>1674</v>
      </c>
      <c r="B61" s="7" t="s">
        <v>1679</v>
      </c>
      <c r="C61" s="7" t="s">
        <v>1680</v>
      </c>
      <c r="D61" s="7" t="s">
        <v>1681</v>
      </c>
      <c r="E61" s="7" t="s">
        <v>59</v>
      </c>
      <c r="F61" s="7" t="s">
        <v>35</v>
      </c>
      <c r="G61" s="7" t="n">
        <v>4</v>
      </c>
      <c r="H61" s="7" t="s">
        <v>1682</v>
      </c>
      <c r="I61" s="7" t="s">
        <v>60</v>
      </c>
      <c r="J61" s="7"/>
    </row>
    <row r="62" customFormat="false" ht="23.85" hidden="false" customHeight="false" outlineLevel="0" collapsed="false">
      <c r="A62" s="7" t="s">
        <v>1674</v>
      </c>
      <c r="B62" s="7" t="s">
        <v>1683</v>
      </c>
      <c r="C62" s="7" t="s">
        <v>1684</v>
      </c>
      <c r="D62" s="7" t="s">
        <v>1685</v>
      </c>
      <c r="E62" s="7" t="s">
        <v>1654</v>
      </c>
      <c r="F62" s="7" t="s">
        <v>38</v>
      </c>
      <c r="G62" s="7" t="n">
        <v>16</v>
      </c>
      <c r="H62" s="7" t="s">
        <v>1675</v>
      </c>
      <c r="I62" s="7" t="s">
        <v>60</v>
      </c>
      <c r="J62" s="7"/>
    </row>
    <row r="63" customFormat="false" ht="23.85" hidden="false" customHeight="false" outlineLevel="0" collapsed="false">
      <c r="A63" s="7" t="s">
        <v>1674</v>
      </c>
      <c r="B63" s="7" t="s">
        <v>1686</v>
      </c>
      <c r="C63" s="7" t="s">
        <v>1687</v>
      </c>
      <c r="D63" s="7" t="s">
        <v>1688</v>
      </c>
      <c r="E63" s="7" t="s">
        <v>1654</v>
      </c>
      <c r="F63" s="7" t="s">
        <v>41</v>
      </c>
      <c r="G63" s="7" t="n">
        <v>8</v>
      </c>
      <c r="H63" s="7" t="s">
        <v>1683</v>
      </c>
      <c r="I63" s="7" t="s">
        <v>60</v>
      </c>
      <c r="J63" s="7"/>
    </row>
    <row r="64" customFormat="false" ht="23.85" hidden="false" customHeight="false" outlineLevel="0" collapsed="false">
      <c r="A64" s="7" t="s">
        <v>1674</v>
      </c>
      <c r="B64" s="7" t="s">
        <v>1689</v>
      </c>
      <c r="C64" s="7" t="s">
        <v>1690</v>
      </c>
      <c r="D64" s="7" t="s">
        <v>1691</v>
      </c>
      <c r="E64" s="7" t="s">
        <v>1692</v>
      </c>
      <c r="F64" s="7" t="s">
        <v>35</v>
      </c>
      <c r="G64" s="7" t="n">
        <v>16</v>
      </c>
      <c r="H64" s="7" t="s">
        <v>1675</v>
      </c>
      <c r="I64" s="7" t="s">
        <v>60</v>
      </c>
      <c r="J64" s="7" t="s">
        <v>1693</v>
      </c>
    </row>
    <row r="65" customFormat="false" ht="15" hidden="false" customHeight="false" outlineLevel="0" collapsed="false">
      <c r="A65" s="6" t="s">
        <v>1694</v>
      </c>
      <c r="B65" s="6"/>
      <c r="C65" s="6"/>
      <c r="D65" s="6"/>
      <c r="E65" s="6"/>
      <c r="F65" s="6"/>
      <c r="G65" s="6"/>
      <c r="H65" s="6"/>
      <c r="I65" s="6"/>
      <c r="J65" s="6"/>
    </row>
    <row r="66" customFormat="false" ht="23.85" hidden="false" customHeight="false" outlineLevel="0" collapsed="false">
      <c r="A66" s="7" t="s">
        <v>1695</v>
      </c>
      <c r="B66" s="7" t="s">
        <v>1696</v>
      </c>
      <c r="C66" s="7" t="s">
        <v>1697</v>
      </c>
      <c r="D66" s="7" t="s">
        <v>1698</v>
      </c>
      <c r="E66" s="7" t="s">
        <v>59</v>
      </c>
      <c r="F66" s="7" t="s">
        <v>38</v>
      </c>
      <c r="G66" s="7" t="n">
        <v>8</v>
      </c>
      <c r="H66" s="7" t="s">
        <v>1675</v>
      </c>
      <c r="I66" s="7" t="s">
        <v>60</v>
      </c>
      <c r="J66" s="7"/>
    </row>
    <row r="67" customFormat="false" ht="23.85" hidden="false" customHeight="false" outlineLevel="0" collapsed="false">
      <c r="A67" s="7" t="s">
        <v>1695</v>
      </c>
      <c r="B67" s="7" t="s">
        <v>1699</v>
      </c>
      <c r="C67" s="7" t="s">
        <v>1700</v>
      </c>
      <c r="D67" s="7" t="s">
        <v>1701</v>
      </c>
      <c r="E67" s="7" t="s">
        <v>1185</v>
      </c>
      <c r="F67" s="7" t="s">
        <v>38</v>
      </c>
      <c r="G67" s="7" t="n">
        <v>12</v>
      </c>
      <c r="H67" s="7" t="s">
        <v>810</v>
      </c>
      <c r="I67" s="7" t="s">
        <v>60</v>
      </c>
      <c r="J67" s="7"/>
    </row>
    <row r="68" customFormat="false" ht="23.85" hidden="false" customHeight="false" outlineLevel="0" collapsed="false">
      <c r="A68" s="7" t="s">
        <v>1695</v>
      </c>
      <c r="B68" s="7" t="s">
        <v>1702</v>
      </c>
      <c r="C68" s="7" t="s">
        <v>1703</v>
      </c>
      <c r="D68" s="7" t="s">
        <v>1704</v>
      </c>
      <c r="E68" s="7" t="s">
        <v>1185</v>
      </c>
      <c r="F68" s="7" t="s">
        <v>38</v>
      </c>
      <c r="G68" s="7" t="n">
        <v>20</v>
      </c>
      <c r="H68" s="7" t="s">
        <v>1666</v>
      </c>
      <c r="I68" s="7" t="s">
        <v>60</v>
      </c>
      <c r="J68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26.85" hidden="false" customHeight="false" outlineLevel="0" collapsed="false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33</v>
      </c>
      <c r="G1" s="5" t="s">
        <v>4</v>
      </c>
      <c r="H1" s="5" t="s">
        <v>51</v>
      </c>
      <c r="I1" s="5" t="s">
        <v>52</v>
      </c>
      <c r="J1" s="5" t="s">
        <v>53</v>
      </c>
    </row>
    <row r="2" customFormat="false" ht="15" hidden="false" customHeight="false" outlineLevel="0" collapsed="false">
      <c r="A2" s="6" t="s">
        <v>1705</v>
      </c>
      <c r="B2" s="6"/>
      <c r="C2" s="6"/>
      <c r="D2" s="6"/>
      <c r="E2" s="6"/>
      <c r="F2" s="6"/>
      <c r="G2" s="6"/>
      <c r="H2" s="6"/>
      <c r="I2" s="6"/>
      <c r="J2" s="6"/>
    </row>
    <row r="3" customFormat="false" ht="23.85" hidden="false" customHeight="false" outlineLevel="0" collapsed="false">
      <c r="A3" s="7" t="s">
        <v>1706</v>
      </c>
      <c r="B3" s="7" t="s">
        <v>1707</v>
      </c>
      <c r="C3" s="7" t="s">
        <v>1708</v>
      </c>
      <c r="D3" s="7" t="s">
        <v>1709</v>
      </c>
      <c r="E3" s="7" t="s">
        <v>85</v>
      </c>
      <c r="F3" s="7" t="s">
        <v>43</v>
      </c>
      <c r="G3" s="7" t="n">
        <v>40</v>
      </c>
      <c r="H3" s="7" t="s">
        <v>810</v>
      </c>
      <c r="I3" s="7" t="s">
        <v>60</v>
      </c>
      <c r="J3" s="7" t="s">
        <v>1710</v>
      </c>
    </row>
    <row r="4" customFormat="false" ht="23.85" hidden="false" customHeight="false" outlineLevel="0" collapsed="false">
      <c r="A4" s="7" t="s">
        <v>1706</v>
      </c>
      <c r="B4" s="7" t="s">
        <v>1711</v>
      </c>
      <c r="C4" s="7" t="s">
        <v>1712</v>
      </c>
      <c r="D4" s="7" t="s">
        <v>1713</v>
      </c>
      <c r="E4" s="7" t="s">
        <v>74</v>
      </c>
      <c r="F4" s="7" t="s">
        <v>41</v>
      </c>
      <c r="G4" s="7" t="n">
        <v>40</v>
      </c>
      <c r="H4" s="7" t="s">
        <v>285</v>
      </c>
      <c r="I4" s="7" t="s">
        <v>60</v>
      </c>
      <c r="J4" s="7" t="s">
        <v>1714</v>
      </c>
    </row>
    <row r="5" customFormat="false" ht="23.85" hidden="false" customHeight="false" outlineLevel="0" collapsed="false">
      <c r="A5" s="7" t="s">
        <v>1706</v>
      </c>
      <c r="B5" s="7" t="s">
        <v>1715</v>
      </c>
      <c r="C5" s="7" t="s">
        <v>1716</v>
      </c>
      <c r="D5" s="7" t="s">
        <v>1717</v>
      </c>
      <c r="E5" s="7" t="s">
        <v>74</v>
      </c>
      <c r="F5" s="7" t="s">
        <v>43</v>
      </c>
      <c r="G5" s="7" t="n">
        <v>60</v>
      </c>
      <c r="H5" s="7" t="s">
        <v>312</v>
      </c>
      <c r="I5" s="7" t="s">
        <v>60</v>
      </c>
      <c r="J5" s="7" t="s">
        <v>1718</v>
      </c>
    </row>
    <row r="6" customFormat="false" ht="23.85" hidden="false" customHeight="false" outlineLevel="0" collapsed="false">
      <c r="A6" s="7" t="s">
        <v>1706</v>
      </c>
      <c r="B6" s="7" t="s">
        <v>1719</v>
      </c>
      <c r="C6" s="7" t="s">
        <v>1720</v>
      </c>
      <c r="D6" s="7" t="s">
        <v>1721</v>
      </c>
      <c r="E6" s="7" t="s">
        <v>74</v>
      </c>
      <c r="F6" s="7" t="s">
        <v>43</v>
      </c>
      <c r="G6" s="7" t="n">
        <v>30</v>
      </c>
      <c r="H6" s="7" t="s">
        <v>1722</v>
      </c>
      <c r="I6" s="7" t="s">
        <v>60</v>
      </c>
      <c r="J6" s="7" t="s">
        <v>1723</v>
      </c>
    </row>
    <row r="7" customFormat="false" ht="23.85" hidden="false" customHeight="false" outlineLevel="0" collapsed="false">
      <c r="A7" s="7" t="s">
        <v>1706</v>
      </c>
      <c r="B7" s="7" t="s">
        <v>1724</v>
      </c>
      <c r="C7" s="7" t="s">
        <v>1725</v>
      </c>
      <c r="D7" s="7" t="s">
        <v>1726</v>
      </c>
      <c r="E7" s="7" t="s">
        <v>74</v>
      </c>
      <c r="F7" s="7" t="s">
        <v>43</v>
      </c>
      <c r="G7" s="7" t="n">
        <v>40</v>
      </c>
      <c r="H7" s="7" t="s">
        <v>1727</v>
      </c>
      <c r="I7" s="7" t="s">
        <v>60</v>
      </c>
      <c r="J7" s="7"/>
    </row>
    <row r="8" customFormat="false" ht="23.85" hidden="false" customHeight="false" outlineLevel="0" collapsed="false">
      <c r="A8" s="7" t="s">
        <v>1706</v>
      </c>
      <c r="B8" s="7" t="s">
        <v>1728</v>
      </c>
      <c r="C8" s="7" t="s">
        <v>1729</v>
      </c>
      <c r="D8" s="7" t="s">
        <v>1730</v>
      </c>
      <c r="E8" s="7" t="s">
        <v>74</v>
      </c>
      <c r="F8" s="7" t="s">
        <v>43</v>
      </c>
      <c r="G8" s="7" t="n">
        <v>20</v>
      </c>
      <c r="H8" s="7" t="s">
        <v>148</v>
      </c>
      <c r="I8" s="7" t="s">
        <v>60</v>
      </c>
      <c r="J8" s="7" t="s">
        <v>1731</v>
      </c>
    </row>
    <row r="9" customFormat="false" ht="23.85" hidden="false" customHeight="false" outlineLevel="0" collapsed="false">
      <c r="A9" s="7" t="s">
        <v>1706</v>
      </c>
      <c r="B9" s="7" t="s">
        <v>1732</v>
      </c>
      <c r="C9" s="7" t="s">
        <v>1733</v>
      </c>
      <c r="D9" s="7" t="s">
        <v>1734</v>
      </c>
      <c r="E9" s="7" t="s">
        <v>74</v>
      </c>
      <c r="F9" s="7" t="s">
        <v>41</v>
      </c>
      <c r="G9" s="7" t="n">
        <v>80</v>
      </c>
      <c r="H9" s="7" t="s">
        <v>152</v>
      </c>
      <c r="I9" s="7" t="s">
        <v>60</v>
      </c>
      <c r="J9" s="7" t="s">
        <v>1735</v>
      </c>
    </row>
    <row r="10" customFormat="false" ht="23.85" hidden="false" customHeight="false" outlineLevel="0" collapsed="false">
      <c r="A10" s="7" t="s">
        <v>1706</v>
      </c>
      <c r="B10" s="7" t="s">
        <v>1736</v>
      </c>
      <c r="C10" s="7" t="s">
        <v>1737</v>
      </c>
      <c r="D10" s="7" t="s">
        <v>1738</v>
      </c>
      <c r="E10" s="7" t="s">
        <v>74</v>
      </c>
      <c r="F10" s="7" t="s">
        <v>43</v>
      </c>
      <c r="G10" s="7" t="n">
        <v>15</v>
      </c>
      <c r="H10" s="7" t="s">
        <v>140</v>
      </c>
      <c r="I10" s="7" t="s">
        <v>60</v>
      </c>
      <c r="J10" s="7" t="s">
        <v>1739</v>
      </c>
    </row>
    <row r="11" customFormat="false" ht="23.85" hidden="false" customHeight="false" outlineLevel="0" collapsed="false">
      <c r="A11" s="7" t="s">
        <v>1706</v>
      </c>
      <c r="B11" s="7" t="s">
        <v>1740</v>
      </c>
      <c r="C11" s="7" t="s">
        <v>1741</v>
      </c>
      <c r="D11" s="7" t="s">
        <v>1742</v>
      </c>
      <c r="E11" s="7" t="s">
        <v>74</v>
      </c>
      <c r="F11" s="7" t="s">
        <v>43</v>
      </c>
      <c r="G11" s="7" t="n">
        <v>60</v>
      </c>
      <c r="H11" s="7" t="s">
        <v>412</v>
      </c>
      <c r="I11" s="7" t="s">
        <v>60</v>
      </c>
      <c r="J11" s="7" t="s">
        <v>1743</v>
      </c>
    </row>
    <row r="12" customFormat="false" ht="23.85" hidden="false" customHeight="false" outlineLevel="0" collapsed="false">
      <c r="A12" s="7" t="s">
        <v>1706</v>
      </c>
      <c r="B12" s="7" t="s">
        <v>1744</v>
      </c>
      <c r="C12" s="7" t="s">
        <v>1745</v>
      </c>
      <c r="D12" s="7" t="s">
        <v>1746</v>
      </c>
      <c r="E12" s="7" t="s">
        <v>373</v>
      </c>
      <c r="F12" s="7" t="s">
        <v>43</v>
      </c>
      <c r="G12" s="7" t="n">
        <v>40</v>
      </c>
      <c r="H12" s="7" t="s">
        <v>594</v>
      </c>
      <c r="I12" s="7" t="s">
        <v>60</v>
      </c>
      <c r="J12" s="7" t="s">
        <v>1747</v>
      </c>
    </row>
    <row r="13" customFormat="false" ht="23.85" hidden="false" customHeight="false" outlineLevel="0" collapsed="false">
      <c r="A13" s="6" t="s">
        <v>1748</v>
      </c>
      <c r="B13" s="6"/>
      <c r="C13" s="6"/>
      <c r="D13" s="6"/>
      <c r="E13" s="6"/>
      <c r="F13" s="6"/>
      <c r="G13" s="6"/>
      <c r="H13" s="6"/>
      <c r="I13" s="6"/>
      <c r="J13" s="6"/>
    </row>
    <row r="14" customFormat="false" ht="23.85" hidden="false" customHeight="false" outlineLevel="0" collapsed="false">
      <c r="A14" s="7" t="s">
        <v>17</v>
      </c>
      <c r="B14" s="7" t="s">
        <v>1749</v>
      </c>
      <c r="C14" s="7" t="s">
        <v>1750</v>
      </c>
      <c r="D14" s="7" t="s">
        <v>1751</v>
      </c>
      <c r="E14" s="7" t="s">
        <v>74</v>
      </c>
      <c r="F14" s="7" t="s">
        <v>43</v>
      </c>
      <c r="G14" s="7" t="n">
        <v>40</v>
      </c>
      <c r="H14" s="7" t="s">
        <v>728</v>
      </c>
      <c r="I14" s="7" t="s">
        <v>60</v>
      </c>
      <c r="J14" s="7"/>
    </row>
    <row r="15" customFormat="false" ht="23.85" hidden="false" customHeight="false" outlineLevel="0" collapsed="false">
      <c r="A15" s="7" t="s">
        <v>17</v>
      </c>
      <c r="B15" s="7" t="s">
        <v>1752</v>
      </c>
      <c r="C15" s="7" t="s">
        <v>1753</v>
      </c>
      <c r="D15" s="7" t="s">
        <v>1754</v>
      </c>
      <c r="E15" s="7" t="s">
        <v>74</v>
      </c>
      <c r="F15" s="7" t="s">
        <v>43</v>
      </c>
      <c r="G15" s="7" t="n">
        <v>50</v>
      </c>
      <c r="H15" s="7" t="s">
        <v>285</v>
      </c>
      <c r="I15" s="7" t="s">
        <v>60</v>
      </c>
      <c r="J15" s="7" t="s">
        <v>1755</v>
      </c>
    </row>
    <row r="16" customFormat="false" ht="23.85" hidden="false" customHeight="false" outlineLevel="0" collapsed="false">
      <c r="A16" s="7" t="s">
        <v>17</v>
      </c>
      <c r="B16" s="7" t="s">
        <v>1756</v>
      </c>
      <c r="C16" s="7" t="s">
        <v>1757</v>
      </c>
      <c r="D16" s="7" t="s">
        <v>1758</v>
      </c>
      <c r="E16" s="7" t="s">
        <v>74</v>
      </c>
      <c r="F16" s="7" t="s">
        <v>41</v>
      </c>
      <c r="G16" s="7" t="n">
        <v>40</v>
      </c>
      <c r="H16" s="7" t="s">
        <v>604</v>
      </c>
      <c r="I16" s="7" t="s">
        <v>60</v>
      </c>
      <c r="J16" s="7"/>
    </row>
    <row r="17" customFormat="false" ht="23.85" hidden="false" customHeight="false" outlineLevel="0" collapsed="false">
      <c r="A17" s="7" t="s">
        <v>17</v>
      </c>
      <c r="B17" s="7" t="s">
        <v>1759</v>
      </c>
      <c r="C17" s="7" t="s">
        <v>1760</v>
      </c>
      <c r="D17" s="7" t="s">
        <v>1761</v>
      </c>
      <c r="E17" s="7" t="s">
        <v>74</v>
      </c>
      <c r="F17" s="7" t="s">
        <v>43</v>
      </c>
      <c r="G17" s="7" t="n">
        <v>30</v>
      </c>
      <c r="H17" s="7" t="s">
        <v>779</v>
      </c>
      <c r="I17" s="7" t="s">
        <v>60</v>
      </c>
      <c r="J17" s="7"/>
    </row>
    <row r="18" customFormat="false" ht="23.85" hidden="false" customHeight="false" outlineLevel="0" collapsed="false">
      <c r="A18" s="7" t="s">
        <v>17</v>
      </c>
      <c r="B18" s="7" t="s">
        <v>1762</v>
      </c>
      <c r="C18" s="7" t="s">
        <v>1763</v>
      </c>
      <c r="D18" s="7" t="s">
        <v>1764</v>
      </c>
      <c r="E18" s="7" t="s">
        <v>74</v>
      </c>
      <c r="F18" s="7" t="s">
        <v>43</v>
      </c>
      <c r="G18" s="7" t="n">
        <v>30</v>
      </c>
      <c r="H18" s="7" t="s">
        <v>779</v>
      </c>
      <c r="I18" s="7" t="s">
        <v>60</v>
      </c>
      <c r="J18" s="7"/>
    </row>
    <row r="19" customFormat="false" ht="23.85" hidden="false" customHeight="false" outlineLevel="0" collapsed="false">
      <c r="A19" s="7" t="s">
        <v>17</v>
      </c>
      <c r="B19" s="7" t="s">
        <v>1765</v>
      </c>
      <c r="C19" s="7" t="s">
        <v>1766</v>
      </c>
      <c r="D19" s="7" t="s">
        <v>1767</v>
      </c>
      <c r="E19" s="7" t="s">
        <v>74</v>
      </c>
      <c r="F19" s="7" t="s">
        <v>43</v>
      </c>
      <c r="G19" s="7" t="n">
        <v>30</v>
      </c>
      <c r="H19" s="7" t="s">
        <v>779</v>
      </c>
      <c r="I19" s="7" t="s">
        <v>60</v>
      </c>
      <c r="J19" s="7"/>
    </row>
    <row r="20" customFormat="false" ht="15" hidden="false" customHeight="false" outlineLevel="0" collapsed="false">
      <c r="A20" s="6" t="s">
        <v>1768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23.85" hidden="false" customHeight="false" outlineLevel="0" collapsed="false">
      <c r="A21" s="7" t="s">
        <v>1769</v>
      </c>
      <c r="B21" s="7" t="s">
        <v>1770</v>
      </c>
      <c r="C21" s="7" t="s">
        <v>1771</v>
      </c>
      <c r="D21" s="7" t="s">
        <v>1772</v>
      </c>
      <c r="E21" s="7" t="s">
        <v>69</v>
      </c>
      <c r="F21" s="7" t="s">
        <v>43</v>
      </c>
      <c r="G21" s="7" t="n">
        <v>20</v>
      </c>
      <c r="H21" s="7"/>
      <c r="I21" s="7" t="s">
        <v>60</v>
      </c>
      <c r="J21" s="7"/>
    </row>
    <row r="22" customFormat="false" ht="23.85" hidden="false" customHeight="false" outlineLevel="0" collapsed="false">
      <c r="A22" s="7" t="s">
        <v>1769</v>
      </c>
      <c r="B22" s="7" t="s">
        <v>1773</v>
      </c>
      <c r="C22" s="7" t="s">
        <v>1774</v>
      </c>
      <c r="D22" s="7" t="s">
        <v>1775</v>
      </c>
      <c r="E22" s="7" t="s">
        <v>1776</v>
      </c>
      <c r="F22" s="7" t="s">
        <v>43</v>
      </c>
      <c r="G22" s="7" t="n">
        <v>300</v>
      </c>
      <c r="H22" s="7" t="s">
        <v>1770</v>
      </c>
      <c r="I22" s="7" t="s">
        <v>60</v>
      </c>
      <c r="J22" s="7"/>
    </row>
    <row r="23" customFormat="false" ht="23.85" hidden="false" customHeight="false" outlineLevel="0" collapsed="false">
      <c r="A23" s="7" t="s">
        <v>1769</v>
      </c>
      <c r="B23" s="7" t="s">
        <v>1777</v>
      </c>
      <c r="C23" s="7" t="s">
        <v>1778</v>
      </c>
      <c r="D23" s="7" t="s">
        <v>1779</v>
      </c>
      <c r="E23" s="7" t="s">
        <v>1776</v>
      </c>
      <c r="F23" s="7" t="s">
        <v>43</v>
      </c>
      <c r="G23" s="7" t="n">
        <v>300</v>
      </c>
      <c r="H23" s="7" t="s">
        <v>1770</v>
      </c>
      <c r="I23" s="7" t="s">
        <v>60</v>
      </c>
      <c r="J23" s="7"/>
    </row>
    <row r="24" customFormat="false" ht="23.85" hidden="false" customHeight="false" outlineLevel="0" collapsed="false">
      <c r="A24" s="7" t="s">
        <v>1769</v>
      </c>
      <c r="B24" s="7" t="s">
        <v>1780</v>
      </c>
      <c r="C24" s="7" t="s">
        <v>1781</v>
      </c>
      <c r="D24" s="7" t="s">
        <v>1782</v>
      </c>
      <c r="E24" s="7" t="s">
        <v>1776</v>
      </c>
      <c r="F24" s="7" t="s">
        <v>43</v>
      </c>
      <c r="G24" s="7" t="n">
        <v>40</v>
      </c>
      <c r="H24" s="7" t="s">
        <v>1773</v>
      </c>
      <c r="I24" s="7" t="s">
        <v>60</v>
      </c>
      <c r="J24" s="7"/>
    </row>
    <row r="25" customFormat="false" ht="23.85" hidden="false" customHeight="false" outlineLevel="0" collapsed="false">
      <c r="A25" s="6" t="s">
        <v>1783</v>
      </c>
      <c r="B25" s="6"/>
      <c r="C25" s="6"/>
      <c r="D25" s="6"/>
      <c r="E25" s="6"/>
      <c r="F25" s="6"/>
      <c r="G25" s="6"/>
      <c r="H25" s="6"/>
      <c r="I25" s="6"/>
      <c r="J25" s="6"/>
    </row>
    <row r="26" customFormat="false" ht="23.85" hidden="false" customHeight="false" outlineLevel="0" collapsed="false">
      <c r="A26" s="7" t="s">
        <v>1784</v>
      </c>
      <c r="B26" s="7" t="s">
        <v>1785</v>
      </c>
      <c r="C26" s="7" t="s">
        <v>1786</v>
      </c>
      <c r="D26" s="7" t="s">
        <v>1787</v>
      </c>
      <c r="E26" s="7" t="s">
        <v>373</v>
      </c>
      <c r="F26" s="7" t="s">
        <v>43</v>
      </c>
      <c r="G26" s="7" t="n">
        <v>100</v>
      </c>
      <c r="H26" s="7" t="s">
        <v>425</v>
      </c>
      <c r="I26" s="7" t="s">
        <v>60</v>
      </c>
      <c r="J26" s="7" t="s">
        <v>1788</v>
      </c>
    </row>
    <row r="27" customFormat="false" ht="23.85" hidden="false" customHeight="false" outlineLevel="0" collapsed="false">
      <c r="A27" s="7" t="s">
        <v>1784</v>
      </c>
      <c r="B27" s="7" t="s">
        <v>1789</v>
      </c>
      <c r="C27" s="7" t="s">
        <v>1790</v>
      </c>
      <c r="D27" s="7" t="s">
        <v>1791</v>
      </c>
      <c r="E27" s="7" t="s">
        <v>373</v>
      </c>
      <c r="F27" s="7" t="s">
        <v>43</v>
      </c>
      <c r="G27" s="7" t="n">
        <v>40</v>
      </c>
      <c r="H27" s="7" t="s">
        <v>412</v>
      </c>
      <c r="I27" s="7" t="s">
        <v>60</v>
      </c>
      <c r="J27" s="7"/>
    </row>
    <row r="28" customFormat="false" ht="23.85" hidden="false" customHeight="false" outlineLevel="0" collapsed="false">
      <c r="A28" s="7" t="s">
        <v>1784</v>
      </c>
      <c r="B28" s="7" t="s">
        <v>1792</v>
      </c>
      <c r="C28" s="7" t="s">
        <v>1793</v>
      </c>
      <c r="D28" s="7" t="s">
        <v>1794</v>
      </c>
      <c r="E28" s="7" t="s">
        <v>373</v>
      </c>
      <c r="F28" s="7" t="s">
        <v>43</v>
      </c>
      <c r="G28" s="7" t="n">
        <v>30</v>
      </c>
      <c r="H28" s="7" t="s">
        <v>412</v>
      </c>
      <c r="I28" s="7" t="s">
        <v>60</v>
      </c>
      <c r="J28" s="7"/>
    </row>
    <row r="29" customFormat="false" ht="23.85" hidden="false" customHeight="false" outlineLevel="0" collapsed="false">
      <c r="A29" s="7" t="s">
        <v>1784</v>
      </c>
      <c r="B29" s="7" t="s">
        <v>1795</v>
      </c>
      <c r="C29" s="7" t="s">
        <v>1796</v>
      </c>
      <c r="D29" s="7" t="s">
        <v>1797</v>
      </c>
      <c r="E29" s="7" t="s">
        <v>373</v>
      </c>
      <c r="F29" s="7" t="s">
        <v>43</v>
      </c>
      <c r="G29" s="7" t="n">
        <v>60</v>
      </c>
      <c r="H29" s="7" t="s">
        <v>631</v>
      </c>
      <c r="I29" s="7" t="s">
        <v>60</v>
      </c>
      <c r="J29" s="7"/>
    </row>
    <row r="30" customFormat="false" ht="23.85" hidden="false" customHeight="false" outlineLevel="0" collapsed="false">
      <c r="A30" s="7" t="s">
        <v>1784</v>
      </c>
      <c r="B30" s="7" t="s">
        <v>1798</v>
      </c>
      <c r="C30" s="7" t="s">
        <v>1799</v>
      </c>
      <c r="D30" s="7" t="s">
        <v>1800</v>
      </c>
      <c r="E30" s="7" t="s">
        <v>373</v>
      </c>
      <c r="F30" s="7" t="s">
        <v>43</v>
      </c>
      <c r="G30" s="7" t="n">
        <v>40</v>
      </c>
      <c r="H30" s="7" t="s">
        <v>412</v>
      </c>
      <c r="I30" s="7" t="s">
        <v>60</v>
      </c>
      <c r="J3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2026-02-11T00:00:43Z</dcterms:created>
  <dc:creator>openpyxl</dc:creator>
  <dc:description/>
  <dc:language>en-US</dc:language>
  <cp:lastModifiedBy/>
  <dcterms:modified xsi:type="dcterms:W3CDTF">2026-02-11T00:07:59Z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